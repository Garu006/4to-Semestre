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gabri\OneDrive\Documentos\4toSemestre\Matematica Financiera\"/>
    </mc:Choice>
  </mc:AlternateContent>
  <xr:revisionPtr revIDLastSave="0" documentId="8_{73EE8B5B-B6AD-4553-B3CE-5AE546F62159}" xr6:coauthVersionLast="47" xr6:coauthVersionMax="47" xr10:uidLastSave="{00000000-0000-0000-0000-000000000000}"/>
  <bookViews>
    <workbookView xWindow="-120" yWindow="-120" windowWidth="29040" windowHeight="15720" xr2:uid="{00000000-000D-0000-FFFF-FFFF00000000}"/>
  </bookViews>
  <sheets>
    <sheet name="Portada" sheetId="1" r:id="rId1"/>
    <sheet name="Ejercicio 1" sheetId="2" r:id="rId2"/>
    <sheet name="Ejercicio2" sheetId="3" r:id="rId3"/>
    <sheet name="Ejercicio 3" sheetId="4" r:id="rId4"/>
    <sheet name="Ejercicio4" sheetId="5" r:id="rId5"/>
    <sheet name="Ejercicio 5" sheetId="6" r:id="rId6"/>
    <sheet name="Ejercicio6"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7" l="1"/>
  <c r="H16" i="7"/>
  <c r="C11" i="7"/>
  <c r="B16" i="7" s="1"/>
  <c r="H9" i="7"/>
  <c r="H15" i="7" s="1"/>
  <c r="H17" i="7" s="1"/>
  <c r="H19" i="7" s="1"/>
  <c r="H21" i="7" s="1"/>
  <c r="H22" i="7" s="1"/>
  <c r="D13" i="6"/>
  <c r="D12" i="6"/>
  <c r="D10" i="6"/>
  <c r="D11" i="6" s="1"/>
  <c r="H17" i="5"/>
  <c r="B17" i="5"/>
  <c r="H16" i="5"/>
  <c r="H18" i="5" s="1"/>
  <c r="H20" i="5" s="1"/>
  <c r="H21" i="5" s="1"/>
  <c r="H23" i="5" s="1"/>
  <c r="B16" i="5"/>
  <c r="B15" i="5"/>
  <c r="B18" i="5" s="1"/>
  <c r="D11" i="4"/>
  <c r="D9" i="4"/>
  <c r="D19" i="3"/>
  <c r="D18" i="3"/>
  <c r="C20" i="3" s="1"/>
  <c r="C17" i="3"/>
  <c r="D17" i="3" s="1"/>
  <c r="D13" i="3"/>
  <c r="D11" i="3"/>
  <c r="D14" i="3" s="1"/>
  <c r="E10" i="3" s="1"/>
  <c r="E18" i="2"/>
  <c r="E17" i="2"/>
  <c r="E19" i="2" s="1"/>
  <c r="E20" i="2" s="1"/>
  <c r="D11" i="2"/>
  <c r="D9" i="2"/>
  <c r="D20" i="3" l="1"/>
  <c r="D21" i="3" s="1"/>
  <c r="B14" i="7"/>
  <c r="B15" i="7"/>
  <c r="B17" i="7" l="1"/>
</calcChain>
</file>

<file path=xl/sharedStrings.xml><?xml version="1.0" encoding="utf-8"?>
<sst xmlns="http://schemas.openxmlformats.org/spreadsheetml/2006/main" count="144" uniqueCount="71">
  <si>
    <t>Examen Parcial I: Matemática Financiera</t>
  </si>
  <si>
    <t>Nombres</t>
  </si>
  <si>
    <t>Gabriel Alejandro García Angulo</t>
  </si>
  <si>
    <t>Gabriel Antonio Rojas Uriarte</t>
  </si>
  <si>
    <t>CIF's</t>
  </si>
  <si>
    <t>Fecha</t>
  </si>
  <si>
    <t>Parte I: Análisis y Toma de Decisiones (20 puntos)</t>
  </si>
  <si>
    <t>1. Elección de Inversión (10 puntos) Usted tiene $15,000 para invertir por 2 años y está evaluando dos opciones:
 • Opción A: Un fondo que le ofrece una tasa de interés simple del 10% anual.
 • Opción B: Un certificado de depósito que le ofrece una tasa de interés compuesto del 9.5% anual, capitalizable trimestralmente.
 Pregunta: ¿Cuál de las dos opciones de inversión elegiría? Justifique su respuesta con los cálculos necesarios para demostrar cuál genera el mayor rendimiento.
 10 puntos</t>
  </si>
  <si>
    <t>Opción A</t>
  </si>
  <si>
    <t>Interés simple</t>
  </si>
  <si>
    <t>Monto</t>
  </si>
  <si>
    <t>M</t>
  </si>
  <si>
    <t>Capital</t>
  </si>
  <si>
    <t>C</t>
  </si>
  <si>
    <t>R = Entre las dos alternativas de inversión, conviene escoger la opción B, ya que genera un monto final de $18,098.50 frente a los $18,000.00 de la Opción A. La diferencia de $98.50 se debe a la capitalización trimestral, que permite reinvertir los intereses dentro del período y obtener un mayor rendimiento.</t>
  </si>
  <si>
    <t>Interés</t>
  </si>
  <si>
    <t>I</t>
  </si>
  <si>
    <t>Tasa Nominal</t>
  </si>
  <si>
    <t>i</t>
  </si>
  <si>
    <t>Tiempo</t>
  </si>
  <si>
    <t>t</t>
  </si>
  <si>
    <t>2 años</t>
  </si>
  <si>
    <t>Opción B</t>
  </si>
  <si>
    <t>Interés compuesto</t>
  </si>
  <si>
    <t>Capital/Inversión</t>
  </si>
  <si>
    <t>Tasa de Interés</t>
  </si>
  <si>
    <t>0.095/4 = 2.374%</t>
  </si>
  <si>
    <t>N° de Períodos</t>
  </si>
  <si>
    <t>n</t>
  </si>
  <si>
    <t>Interés Ganado</t>
  </si>
  <si>
    <t>Parte I: Análisis y Toma de Decisiones</t>
  </si>
  <si>
    <t>2. Descuento de un Pagaré (10 puntos) Una empresa ha emitido un pagaré con un valor nominal de $30,000 que vence en 90 días. Debido a una urgencia de liquidez, la empresa necesita descontar el pagaré hoy mismo. Tiene la opción de hacerlo con un banco que le ofrece un descuento comercial o con un inversionista privado que le aplica una tasa de descuento real. Ambos ofrecen una tasa de descuento del 15% anual. Pregunta: Explique la diferencia conceptual entre ambos métodos de descuento. ¿Cuál de los dos métodos le conviene más a la empresa y por qué?</t>
  </si>
  <si>
    <t>Descuento Comercial</t>
  </si>
  <si>
    <r>
      <rPr>
        <b/>
        <sz val="10"/>
        <color theme="1"/>
        <rFont val="Arial"/>
      </rPr>
      <t>Diferencia conceptual:</t>
    </r>
    <r>
      <rPr>
        <sz val="10"/>
        <color theme="1"/>
        <rFont val="Arial"/>
      </rPr>
      <t xml:space="preserve">
Comercial: descuenta sobre el valor nominal M → cobra más descuento para la misma tasa y plazo.
Real: descuenta sobre el valor presente (divide por 1+it) → cobra menos descuento.</t>
    </r>
  </si>
  <si>
    <t>Monto/Valor Nominal</t>
  </si>
  <si>
    <t>Tasa de Interés/Descuento</t>
  </si>
  <si>
    <t>Tiempo en dias</t>
  </si>
  <si>
    <t>90/360</t>
  </si>
  <si>
    <t>Valor del Descuento</t>
  </si>
  <si>
    <t>D</t>
  </si>
  <si>
    <t>Descuento Real o Justo</t>
  </si>
  <si>
    <t>R = El método que más le conviene a la empresa es el Descuento Real porque deja más efectivo hoy, $28,915.66. Gana $40.66 más (el descuento comercial siempre resulta ser más costoso al descontar sobre M)</t>
  </si>
  <si>
    <t>Tiempo en años</t>
  </si>
  <si>
    <t>Parte II: Resolución de Ejercicios (20 puntos)</t>
  </si>
  <si>
    <t>Un agricultor pide un préstamo de S/ 5,000 a una cooperativa. La cooperativa le cobra una tasa de interés simple del 1.5% mensual. El agricultor se compromete a pagar el préstamo en 10 meses. Calcule:
 • a) El interés total que pagará.
 • b) El monto final que deberá cancelar.
 5 puntos</t>
  </si>
  <si>
    <t>Ejercicio 3</t>
  </si>
  <si>
    <t>a) El interés total que pagará serán $750.00
b) El monto final que deberá cancelar será $5,750.00</t>
  </si>
  <si>
    <t>10 meses</t>
  </si>
  <si>
    <t>Parte II: Resolución de Ejercicios</t>
  </si>
  <si>
    <t>4. Pagos Parciales (5 puntos) Una deuda de $10,000 a una tasa de interés simple del 18% anual debe ser cancelada en un año. Se realizaron dos pagos parciales: uno de $3,000 a los 4 meses y otro de $4,000 a los 8 meses. Determine el monto del pago final que debe realizarse a los 12 meses para saldar la deuda por ambos métodos.</t>
  </si>
  <si>
    <t>Método comercial</t>
  </si>
  <si>
    <t>Metodo Americano</t>
  </si>
  <si>
    <t>t meses</t>
  </si>
  <si>
    <t>i anual</t>
  </si>
  <si>
    <t>Pago 1</t>
  </si>
  <si>
    <t>Pago 2</t>
  </si>
  <si>
    <t>VF</t>
  </si>
  <si>
    <t>VF1</t>
  </si>
  <si>
    <t>VF2</t>
  </si>
  <si>
    <t>menos</t>
  </si>
  <si>
    <t>VF3</t>
  </si>
  <si>
    <t>Conclusiones</t>
  </si>
  <si>
    <r>
      <rPr>
        <sz val="11"/>
        <color rgb="FF000000"/>
        <rFont val="Calibri, sans-serif"/>
      </rPr>
      <t xml:space="preserve">"Si un prestamista no te dice qué método de pagos parciales utiliza, ¿qué preguntas harías para averiguarlo? ¿Qué información te daría la clave para saber si te conviene o no?" Respuesta: Para averiguar qué método de pagos parciales aplica un prestamista, lo primero es preguntar cómo se tratan los abonos en el tiempo: si cada pago se lleva hasta la fecha de vencimiento y gana intereses a favor del deudor, significa que usa la </t>
    </r>
    <r>
      <rPr>
        <b/>
        <sz val="11"/>
        <color rgb="FF000000"/>
        <rFont val="Calibri, sans-serif"/>
      </rPr>
      <t>regla comercial</t>
    </r>
    <r>
      <rPr>
        <sz val="11"/>
        <color rgb="FF000000"/>
        <rFont val="Calibri, sans-serif"/>
      </rPr>
      <t xml:space="preserve">, mientras que si el abono solo reduce el saldo en el momento en que se paga y el saldo insoluto sigue generando intereses hasta el vencimiento, corresponde a la </t>
    </r>
    <r>
      <rPr>
        <b/>
        <sz val="11"/>
        <color rgb="FF000000"/>
        <rFont val="Calibri, sans-serif"/>
      </rPr>
      <t>regla americana</t>
    </r>
    <r>
      <rPr>
        <sz val="11"/>
        <color rgb="FF000000"/>
        <rFont val="Calibri, sans-serif"/>
      </rPr>
      <t xml:space="preserve">. Esta información es la clave para saber qué te conviene, porque con la misma tasa y plazos la regla comercial suele resultar más favorable al deudor, ya que disminuye más el saldo final, mientras que la regla americana incrementa el costo al mantener los intereses sobre el saldo pendiente.
</t>
    </r>
  </si>
  <si>
    <t>(5 puntos) Usted desea acumular $40,000 para la compra de un automóvil en 5 años. Si la inversión que planea realizar le ofrece un rendimiento del 8% anual con capitalización semestral, ¿cuánto dinero necesita invertir hoy (principal) para alcanzar su objetivo?</t>
  </si>
  <si>
    <t>R = El inversionista necesita invertir aportar hoy $27,022.57. El interés generado en el período será de $12,977.43, alcanzando así el monto objetivo de $40,000 al final de los 5 años.</t>
  </si>
  <si>
    <t>8%/2</t>
  </si>
  <si>
    <t>Semtestral</t>
  </si>
  <si>
    <t>5 años x 2 semestres</t>
  </si>
  <si>
    <t>N° de períodos</t>
  </si>
  <si>
    <t>5 puntos Juan López contrajo una deuda por $92,000.00 al 30% anual convertible bimestral a 10 meses de plazo. Si abona $40,000.00 a los 3 meses y $45,000.00 a los 8 meses, determine el saldo por pagar en la fecha de vencimiento, usando Regla Comercial y Regla de los Saldos.</t>
  </si>
  <si>
    <r>
      <rPr>
        <sz val="11"/>
        <color rgb="FF000000"/>
        <rFont val="Calibri, sans-serif"/>
      </rPr>
      <t xml:space="preserve">Porqué se diferencia del pago parcial del interés simple? Justifique su respuesta. Respuesta: La diferencia se debe a que en el </t>
    </r>
    <r>
      <rPr>
        <b/>
        <sz val="11"/>
        <color rgb="FF000000"/>
        <rFont val="Calibri, sans-serif"/>
      </rPr>
      <t>interés compuesto</t>
    </r>
    <r>
      <rPr>
        <sz val="11"/>
        <color rgb="FF000000"/>
        <rFont val="Calibri, sans-serif"/>
      </rPr>
      <t xml:space="preserve"> los cálculos son equivalentes sin importar el método usado, ya que los pagos se capitalizan con la misma fórmula. En cambio, en el </t>
    </r>
    <r>
      <rPr>
        <b/>
        <sz val="11"/>
        <color rgb="FF000000"/>
        <rFont val="Calibri, sans-serif"/>
      </rPr>
      <t xml:space="preserve">interés simple </t>
    </r>
    <r>
      <rPr>
        <sz val="11"/>
        <color rgb="FF000000"/>
        <rFont val="Calibri, sans-serif"/>
      </rPr>
      <t xml:space="preserve">no existe esa equivalencia: el saldo cambia según el método, porque en la regla comercial los abonos generan un beneficio adicional al llevarlos al vencimiento, mientras que en la regla de saldos los intereses se calculan solo sobre la deuda pendiente.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</si>
</sst>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quot;$&quot;#,##0.00"/>
  </numFmts>
  <fonts count="13">
    <font>
      <sz val="10"/>
      <color rgb="FF000000"/>
      <name val="Arial"/>
      <scheme val="minor"/>
    </font>
    <font>
      <sz val="11"/>
      <color rgb="FF000000"/>
      <name val="Calibri"/>
    </font>
    <font>
      <b/>
      <sz val="12"/>
      <color rgb="FF000000"/>
      <name val="Calibri"/>
    </font>
    <font>
      <b/>
      <sz val="14"/>
      <color rgb="FF000000"/>
      <name val="&quot;Times New Roman&quot;"/>
    </font>
    <font>
      <b/>
      <sz val="11"/>
      <color rgb="FF000000"/>
      <name val="Calibri"/>
    </font>
    <font>
      <sz val="10"/>
      <name val="Arial"/>
    </font>
    <font>
      <b/>
      <sz val="12"/>
      <color rgb="FF000000"/>
      <name val="&quot;Times New Roman&quot;"/>
    </font>
    <font>
      <b/>
      <i/>
      <sz val="11"/>
      <color rgb="FF000000"/>
      <name val="Calibri"/>
    </font>
    <font>
      <sz val="10"/>
      <color theme="1"/>
      <name val="Arial"/>
      <scheme val="minor"/>
    </font>
    <font>
      <b/>
      <sz val="10"/>
      <color theme="1"/>
      <name val="Arial"/>
    </font>
    <font>
      <sz val="10"/>
      <color theme="1"/>
      <name val="Arial"/>
    </font>
    <font>
      <sz val="11"/>
      <color rgb="FF000000"/>
      <name val="Calibri, sans-serif"/>
    </font>
    <font>
      <b/>
      <sz val="11"/>
      <color rgb="FF000000"/>
      <name val="Calibri, sans-serif"/>
    </font>
  </fonts>
  <fills count="17">
    <fill>
      <patternFill patternType="none"/>
    </fill>
    <fill>
      <patternFill patternType="gray125"/>
    </fill>
    <fill>
      <patternFill patternType="solid">
        <fgColor rgb="FFD9E1F2"/>
        <bgColor rgb="FFD9E1F2"/>
      </patternFill>
    </fill>
    <fill>
      <patternFill patternType="solid">
        <fgColor rgb="FFE7E6E6"/>
        <bgColor rgb="FFE7E6E6"/>
      </patternFill>
    </fill>
    <fill>
      <patternFill patternType="solid">
        <fgColor rgb="FFDDEBF7"/>
        <bgColor rgb="FFDDEBF7"/>
      </patternFill>
    </fill>
    <fill>
      <patternFill patternType="solid">
        <fgColor rgb="FFFCE4D6"/>
        <bgColor rgb="FFFCE4D6"/>
      </patternFill>
    </fill>
    <fill>
      <patternFill patternType="solid">
        <fgColor rgb="FFFFFFFF"/>
        <bgColor rgb="FFFFFFFF"/>
      </patternFill>
    </fill>
    <fill>
      <patternFill patternType="solid">
        <fgColor rgb="FFB6D7A8"/>
        <bgColor rgb="FFB6D7A8"/>
      </patternFill>
    </fill>
    <fill>
      <patternFill patternType="solid">
        <fgColor rgb="FFFFF2CC"/>
        <bgColor rgb="FFFFF2CC"/>
      </patternFill>
    </fill>
    <fill>
      <patternFill patternType="solid">
        <fgColor rgb="FFE2EFDA"/>
        <bgColor rgb="FFE2EFDA"/>
      </patternFill>
    </fill>
    <fill>
      <patternFill patternType="solid">
        <fgColor rgb="FFD9D9D9"/>
        <bgColor rgb="FFD9D9D9"/>
      </patternFill>
    </fill>
    <fill>
      <patternFill patternType="solid">
        <fgColor rgb="FFE1E1FF"/>
        <bgColor rgb="FFE1E1FF"/>
      </patternFill>
    </fill>
    <fill>
      <patternFill patternType="solid">
        <fgColor rgb="FFF4CCCC"/>
        <bgColor rgb="FFF4CCCC"/>
      </patternFill>
    </fill>
    <fill>
      <patternFill patternType="solid">
        <fgColor rgb="FFF8CBAD"/>
        <bgColor rgb="FFF8CBAD"/>
      </patternFill>
    </fill>
    <fill>
      <patternFill patternType="solid">
        <fgColor rgb="FFFFFF00"/>
        <bgColor rgb="FFFFFF00"/>
      </patternFill>
    </fill>
    <fill>
      <patternFill patternType="solid">
        <fgColor rgb="FF00FFFF"/>
        <bgColor rgb="FF00FFFF"/>
      </patternFill>
    </fill>
    <fill>
      <patternFill patternType="solid">
        <fgColor rgb="FFCFE2F3"/>
        <bgColor rgb="FFCFE2F3"/>
      </patternFill>
    </fill>
  </fills>
  <borders count="8">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64">
    <xf numFmtId="0" fontId="0" fillId="0" borderId="0" xfId="0"/>
    <xf numFmtId="0" fontId="1" fillId="0" borderId="0" xfId="0" applyFont="1" applyAlignment="1">
      <alignment horizontal="left" vertical="top"/>
    </xf>
    <xf numFmtId="0" fontId="1" fillId="0" borderId="0" xfId="0" applyFont="1"/>
    <xf numFmtId="0" fontId="4" fillId="2" borderId="6" xfId="0" applyFont="1" applyFill="1" applyBorder="1" applyAlignment="1">
      <alignment horizontal="center"/>
    </xf>
    <xf numFmtId="0" fontId="4" fillId="4" borderId="0" xfId="0" applyFont="1" applyFill="1"/>
    <xf numFmtId="0" fontId="1" fillId="0" borderId="6" xfId="0" applyFont="1" applyBorder="1"/>
    <xf numFmtId="0" fontId="1" fillId="0" borderId="6" xfId="0" applyFont="1" applyBorder="1" applyAlignment="1">
      <alignment horizontal="center"/>
    </xf>
    <xf numFmtId="165" fontId="1" fillId="5" borderId="6" xfId="0" applyNumberFormat="1" applyFont="1" applyFill="1" applyBorder="1"/>
    <xf numFmtId="0" fontId="1" fillId="6" borderId="0" xfId="0" applyFont="1" applyFill="1"/>
    <xf numFmtId="165" fontId="1" fillId="0" borderId="6" xfId="0" applyNumberFormat="1" applyFont="1" applyBorder="1"/>
    <xf numFmtId="0" fontId="1" fillId="6" borderId="0" xfId="0" applyFont="1" applyFill="1" applyAlignment="1">
      <alignment horizontal="left"/>
    </xf>
    <xf numFmtId="165" fontId="1" fillId="8" borderId="6" xfId="0" applyNumberFormat="1" applyFont="1" applyFill="1" applyBorder="1"/>
    <xf numFmtId="9" fontId="1" fillId="0" borderId="6" xfId="0" applyNumberFormat="1" applyFont="1" applyBorder="1" applyAlignment="1">
      <alignment horizontal="center"/>
    </xf>
    <xf numFmtId="2" fontId="1" fillId="9" borderId="6" xfId="0" applyNumberFormat="1" applyFont="1" applyFill="1" applyBorder="1"/>
    <xf numFmtId="0" fontId="1" fillId="0" borderId="0" xfId="0" applyFont="1" applyAlignment="1">
      <alignment horizontal="left"/>
    </xf>
    <xf numFmtId="165" fontId="1" fillId="2" borderId="6" xfId="0" applyNumberFormat="1" applyFont="1" applyFill="1" applyBorder="1"/>
    <xf numFmtId="0" fontId="7" fillId="4" borderId="0" xfId="0" applyFont="1" applyFill="1"/>
    <xf numFmtId="3" fontId="1" fillId="0" borderId="0" xfId="0" applyNumberFormat="1" applyFont="1"/>
    <xf numFmtId="3" fontId="1" fillId="0" borderId="6" xfId="0" applyNumberFormat="1" applyFont="1" applyBorder="1" applyAlignment="1">
      <alignment horizontal="center"/>
    </xf>
    <xf numFmtId="0" fontId="1" fillId="9" borderId="6" xfId="0" applyFont="1" applyFill="1" applyBorder="1" applyAlignment="1">
      <alignment horizontal="right"/>
    </xf>
    <xf numFmtId="9" fontId="1" fillId="0" borderId="0" xfId="0" applyNumberFormat="1" applyFont="1"/>
    <xf numFmtId="10" fontId="1" fillId="0" borderId="6" xfId="0" applyNumberFormat="1" applyFont="1" applyBorder="1" applyAlignment="1">
      <alignment horizontal="center"/>
    </xf>
    <xf numFmtId="0" fontId="1" fillId="9" borderId="6" xfId="0" applyFont="1" applyFill="1" applyBorder="1"/>
    <xf numFmtId="0" fontId="8" fillId="0" borderId="0" xfId="0" applyFont="1"/>
    <xf numFmtId="4" fontId="1" fillId="0" borderId="0" xfId="0" applyNumberFormat="1" applyFont="1"/>
    <xf numFmtId="0" fontId="1" fillId="0" borderId="7" xfId="0" applyFont="1" applyBorder="1"/>
    <xf numFmtId="0" fontId="4" fillId="14" borderId="0" xfId="0" applyFont="1" applyFill="1"/>
    <xf numFmtId="4" fontId="4" fillId="14" borderId="0" xfId="0" applyNumberFormat="1" applyFont="1" applyFill="1"/>
    <xf numFmtId="0" fontId="4" fillId="0" borderId="0" xfId="0" applyFont="1"/>
    <xf numFmtId="4" fontId="4" fillId="0" borderId="0" xfId="0" applyNumberFormat="1" applyFont="1"/>
    <xf numFmtId="4" fontId="1" fillId="0" borderId="7" xfId="0" applyNumberFormat="1" applyFont="1" applyBorder="1"/>
    <xf numFmtId="0" fontId="4" fillId="2" borderId="1" xfId="0" applyFont="1" applyFill="1" applyBorder="1" applyAlignment="1">
      <alignment horizontal="center" vertical="center"/>
    </xf>
    <xf numFmtId="0" fontId="5" fillId="0" borderId="5" xfId="0" applyFont="1" applyBorder="1"/>
    <xf numFmtId="0" fontId="2" fillId="0" borderId="0" xfId="0" applyFont="1" applyAlignment="1">
      <alignment horizontal="center"/>
    </xf>
    <xf numFmtId="0" fontId="0" fillId="0" borderId="0" xfId="0"/>
    <xf numFmtId="0" fontId="3" fillId="0" borderId="0" xfId="0" applyFont="1"/>
    <xf numFmtId="0" fontId="1" fillId="0" borderId="2" xfId="0" applyFont="1" applyBorder="1" applyAlignment="1">
      <alignment horizontal="center"/>
    </xf>
    <xf numFmtId="0" fontId="5" fillId="0" borderId="3" xfId="0" applyFont="1" applyBorder="1"/>
    <xf numFmtId="0" fontId="5" fillId="0" borderId="4" xfId="0" applyFont="1" applyBorder="1"/>
    <xf numFmtId="164" fontId="1" fillId="0" borderId="3" xfId="0" applyNumberFormat="1" applyFont="1" applyBorder="1" applyAlignment="1">
      <alignment horizontal="center"/>
    </xf>
    <xf numFmtId="0" fontId="1" fillId="0" borderId="0" xfId="0" applyFont="1" applyAlignment="1">
      <alignment horizontal="left"/>
    </xf>
    <xf numFmtId="0" fontId="1" fillId="0" borderId="2" xfId="0" applyFont="1" applyBorder="1" applyAlignment="1">
      <alignment horizontal="right"/>
    </xf>
    <xf numFmtId="10" fontId="1" fillId="0" borderId="2" xfId="0" applyNumberFormat="1" applyFont="1" applyBorder="1" applyAlignment="1">
      <alignment horizontal="center"/>
    </xf>
    <xf numFmtId="0" fontId="6" fillId="0" borderId="0" xfId="0" applyFont="1"/>
    <xf numFmtId="0" fontId="1" fillId="0" borderId="0" xfId="0" applyFont="1"/>
    <xf numFmtId="0" fontId="1" fillId="3" borderId="0" xfId="0" applyFont="1" applyFill="1" applyAlignment="1">
      <alignment horizontal="left" vertical="center"/>
    </xf>
    <xf numFmtId="0" fontId="1" fillId="7" borderId="0" xfId="0" applyFont="1" applyFill="1" applyAlignment="1">
      <alignment horizontal="left" vertical="center" wrapText="1"/>
    </xf>
    <xf numFmtId="0" fontId="1" fillId="8" borderId="2" xfId="0" applyFont="1" applyFill="1" applyBorder="1" applyAlignment="1">
      <alignment horizontal="right"/>
    </xf>
    <xf numFmtId="4" fontId="1" fillId="5" borderId="2" xfId="0" applyNumberFormat="1" applyFont="1" applyFill="1" applyBorder="1" applyAlignment="1">
      <alignment horizontal="right"/>
    </xf>
    <xf numFmtId="3" fontId="1" fillId="11" borderId="2" xfId="0" applyNumberFormat="1" applyFont="1" applyFill="1" applyBorder="1" applyAlignment="1">
      <alignment horizontal="right"/>
    </xf>
    <xf numFmtId="0" fontId="8" fillId="8" borderId="0" xfId="0" applyFont="1" applyFill="1" applyAlignment="1">
      <alignment vertical="center" wrapText="1"/>
    </xf>
    <xf numFmtId="0" fontId="8" fillId="10" borderId="0" xfId="0" applyFont="1" applyFill="1" applyAlignment="1">
      <alignment vertical="center" wrapText="1"/>
    </xf>
    <xf numFmtId="0" fontId="6" fillId="0" borderId="0" xfId="0" applyFont="1" applyAlignment="1">
      <alignment horizontal="left" wrapText="1"/>
    </xf>
    <xf numFmtId="3" fontId="1" fillId="0" borderId="2" xfId="0" applyNumberFormat="1" applyFont="1" applyBorder="1" applyAlignment="1">
      <alignment horizontal="right"/>
    </xf>
    <xf numFmtId="0" fontId="1" fillId="5" borderId="2" xfId="0" applyFont="1" applyFill="1" applyBorder="1" applyAlignment="1">
      <alignment horizontal="right"/>
    </xf>
    <xf numFmtId="0" fontId="1" fillId="9" borderId="2" xfId="0" applyFont="1" applyFill="1" applyBorder="1" applyAlignment="1">
      <alignment horizontal="right"/>
    </xf>
    <xf numFmtId="0" fontId="1" fillId="0" borderId="0" xfId="0" applyFont="1" applyAlignment="1">
      <alignment wrapText="1"/>
    </xf>
    <xf numFmtId="0" fontId="8" fillId="12" borderId="0" xfId="0" applyFont="1" applyFill="1" applyAlignment="1">
      <alignment vertical="center" wrapText="1"/>
    </xf>
    <xf numFmtId="0" fontId="1" fillId="13" borderId="0" xfId="0" applyFont="1" applyFill="1"/>
    <xf numFmtId="0" fontId="1" fillId="15" borderId="0" xfId="0" applyFont="1" applyFill="1" applyAlignment="1">
      <alignment wrapText="1"/>
    </xf>
    <xf numFmtId="0" fontId="1" fillId="0" borderId="0" xfId="0" applyFont="1" applyAlignment="1">
      <alignment vertical="center" wrapText="1"/>
    </xf>
    <xf numFmtId="0" fontId="8" fillId="16" borderId="0" xfId="0" applyFont="1" applyFill="1" applyAlignment="1">
      <alignment vertical="center" wrapText="1"/>
    </xf>
    <xf numFmtId="0" fontId="11" fillId="5" borderId="0" xfId="0" applyFont="1" applyFill="1" applyAlignment="1">
      <alignment horizontal="center" vertical="center" wrapText="1"/>
    </xf>
    <xf numFmtId="0" fontId="1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133350</xdr:colOff>
      <xdr:row>0</xdr:row>
      <xdr:rowOff>19049</xdr:rowOff>
    </xdr:from>
    <xdr:ext cx="1809750" cy="2409825"/>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809750" y="19049"/>
          <a:ext cx="1809750" cy="24098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23"/>
  <sheetViews>
    <sheetView tabSelected="1" workbookViewId="0">
      <selection activeCell="F13" sqref="F13"/>
    </sheetView>
  </sheetViews>
  <sheetFormatPr defaultColWidth="12.5703125" defaultRowHeight="15.75" customHeight="1"/>
  <sheetData>
    <row r="1" spans="1:7" ht="15.75" customHeight="1">
      <c r="A1" s="1"/>
      <c r="B1" s="2"/>
      <c r="C1" s="1"/>
      <c r="D1" s="2"/>
      <c r="E1" s="2"/>
      <c r="F1" s="2"/>
      <c r="G1" s="2"/>
    </row>
    <row r="2" spans="1:7" ht="15.75" customHeight="1">
      <c r="A2" s="2"/>
      <c r="B2" s="2"/>
      <c r="C2" s="2"/>
      <c r="D2" s="2"/>
      <c r="E2" s="2"/>
      <c r="F2" s="2"/>
      <c r="G2" s="2"/>
    </row>
    <row r="3" spans="1:7" ht="15.75" customHeight="1">
      <c r="A3" s="2"/>
      <c r="B3" s="2"/>
      <c r="C3" s="2"/>
      <c r="D3" s="2"/>
      <c r="E3" s="2"/>
      <c r="F3" s="2"/>
      <c r="G3" s="2"/>
    </row>
    <row r="4" spans="1:7" ht="15.75" customHeight="1">
      <c r="A4" s="2"/>
      <c r="B4" s="2"/>
      <c r="C4" s="2"/>
      <c r="D4" s="2"/>
      <c r="E4" s="2"/>
      <c r="F4" s="2"/>
      <c r="G4" s="2"/>
    </row>
    <row r="5" spans="1:7" ht="15.75" customHeight="1">
      <c r="A5" s="2"/>
      <c r="B5" s="2"/>
      <c r="C5" s="2"/>
      <c r="D5" s="2"/>
      <c r="E5" s="2"/>
      <c r="F5" s="2"/>
      <c r="G5" s="2"/>
    </row>
    <row r="6" spans="1:7" ht="15.75" customHeight="1">
      <c r="A6" s="2"/>
      <c r="B6" s="2"/>
      <c r="C6" s="2"/>
      <c r="D6" s="2"/>
      <c r="E6" s="2"/>
      <c r="F6" s="2"/>
      <c r="G6" s="2"/>
    </row>
    <row r="7" spans="1:7" ht="15.75" customHeight="1">
      <c r="A7" s="2"/>
      <c r="B7" s="2"/>
      <c r="C7" s="2"/>
      <c r="D7" s="2"/>
      <c r="E7" s="2"/>
      <c r="F7" s="2"/>
      <c r="G7" s="2"/>
    </row>
    <row r="8" spans="1:7" ht="15.75" customHeight="1">
      <c r="A8" s="2"/>
      <c r="B8" s="2"/>
      <c r="C8" s="2"/>
      <c r="D8" s="2"/>
      <c r="E8" s="2"/>
      <c r="F8" s="2"/>
      <c r="G8" s="2"/>
    </row>
    <row r="9" spans="1:7" ht="15.75" customHeight="1">
      <c r="A9" s="2"/>
      <c r="B9" s="2"/>
      <c r="C9" s="2"/>
      <c r="D9" s="2"/>
      <c r="E9" s="2"/>
      <c r="F9" s="2"/>
      <c r="G9" s="2"/>
    </row>
    <row r="10" spans="1:7" ht="15.75" customHeight="1">
      <c r="A10" s="2"/>
      <c r="B10" s="2"/>
      <c r="C10" s="2"/>
      <c r="D10" s="2"/>
      <c r="E10" s="2"/>
      <c r="F10" s="2"/>
      <c r="G10" s="2"/>
    </row>
    <row r="11" spans="1:7" ht="15.75" customHeight="1">
      <c r="A11" s="2"/>
      <c r="B11" s="2"/>
      <c r="C11" s="2"/>
      <c r="D11" s="2"/>
      <c r="E11" s="2"/>
      <c r="F11" s="2"/>
      <c r="G11" s="2"/>
    </row>
    <row r="12" spans="1:7" ht="15.75" customHeight="1">
      <c r="A12" s="2"/>
      <c r="B12" s="2"/>
      <c r="C12" s="2"/>
      <c r="D12" s="2"/>
      <c r="E12" s="2"/>
      <c r="F12" s="2"/>
      <c r="G12" s="2"/>
    </row>
    <row r="13" spans="1:7" ht="15.75" customHeight="1">
      <c r="A13" s="2"/>
      <c r="B13" s="2"/>
      <c r="C13" s="33"/>
      <c r="D13" s="34"/>
      <c r="E13" s="2"/>
      <c r="F13" s="2"/>
      <c r="G13" s="2"/>
    </row>
    <row r="14" spans="1:7" ht="15.75" customHeight="1">
      <c r="A14" s="2"/>
      <c r="B14" s="35" t="s">
        <v>0</v>
      </c>
      <c r="C14" s="34"/>
      <c r="D14" s="34"/>
      <c r="E14" s="34"/>
      <c r="F14" s="34"/>
      <c r="G14" s="2"/>
    </row>
    <row r="15" spans="1:7" ht="15.75" customHeight="1">
      <c r="A15" s="2"/>
      <c r="B15" s="2"/>
      <c r="C15" s="2"/>
      <c r="D15" s="2"/>
      <c r="E15" s="2"/>
      <c r="F15" s="2"/>
      <c r="G15" s="2"/>
    </row>
    <row r="16" spans="1:7" ht="15.75" customHeight="1">
      <c r="A16" s="2"/>
      <c r="B16" s="31" t="s">
        <v>1</v>
      </c>
      <c r="C16" s="36" t="s">
        <v>2</v>
      </c>
      <c r="D16" s="37"/>
      <c r="E16" s="38"/>
      <c r="F16" s="2"/>
      <c r="G16" s="2"/>
    </row>
    <row r="17" spans="1:7" ht="15.75" customHeight="1">
      <c r="A17" s="2"/>
      <c r="B17" s="32"/>
      <c r="C17" s="36" t="s">
        <v>3</v>
      </c>
      <c r="D17" s="37"/>
      <c r="E17" s="38"/>
      <c r="F17" s="2"/>
      <c r="G17" s="2"/>
    </row>
    <row r="18" spans="1:7" ht="15.75" customHeight="1">
      <c r="A18" s="2"/>
      <c r="B18" s="2"/>
      <c r="C18" s="2"/>
      <c r="D18" s="2"/>
      <c r="E18" s="2"/>
      <c r="F18" s="2"/>
      <c r="G18" s="2"/>
    </row>
    <row r="19" spans="1:7" ht="15.75" customHeight="1">
      <c r="A19" s="2"/>
      <c r="B19" s="31" t="s">
        <v>4</v>
      </c>
      <c r="C19" s="36">
        <v>23021430</v>
      </c>
      <c r="D19" s="37"/>
      <c r="E19" s="38"/>
      <c r="F19" s="2"/>
      <c r="G19" s="2"/>
    </row>
    <row r="20" spans="1:7" ht="15.75" customHeight="1">
      <c r="A20" s="2"/>
      <c r="B20" s="32"/>
      <c r="C20" s="36">
        <v>24010226</v>
      </c>
      <c r="D20" s="37"/>
      <c r="E20" s="38"/>
      <c r="F20" s="2"/>
      <c r="G20" s="2"/>
    </row>
    <row r="21" spans="1:7" ht="15.75" customHeight="1">
      <c r="A21" s="2"/>
      <c r="F21" s="2"/>
      <c r="G21" s="2"/>
    </row>
    <row r="22" spans="1:7" ht="15.75" customHeight="1">
      <c r="A22" s="2"/>
      <c r="B22" s="3" t="s">
        <v>5</v>
      </c>
      <c r="C22" s="39">
        <v>45923</v>
      </c>
      <c r="D22" s="37"/>
      <c r="E22" s="38"/>
      <c r="F22" s="2"/>
      <c r="G22" s="2"/>
    </row>
    <row r="23" spans="1:7" ht="15.75" customHeight="1">
      <c r="A23" s="2"/>
      <c r="B23" s="2"/>
      <c r="C23" s="2"/>
      <c r="D23" s="2"/>
      <c r="E23" s="2"/>
      <c r="F23" s="2"/>
      <c r="G23" s="2"/>
    </row>
  </sheetData>
  <mergeCells count="9">
    <mergeCell ref="C22:E22"/>
    <mergeCell ref="B16:B17"/>
    <mergeCell ref="B19:B20"/>
    <mergeCell ref="C13:D13"/>
    <mergeCell ref="B14:F14"/>
    <mergeCell ref="C16:E16"/>
    <mergeCell ref="C17:E17"/>
    <mergeCell ref="C19:E19"/>
    <mergeCell ref="C20:E2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20"/>
  <sheetViews>
    <sheetView workbookViewId="0">
      <selection activeCell="F19" sqref="F19"/>
    </sheetView>
  </sheetViews>
  <sheetFormatPr defaultColWidth="12.5703125" defaultRowHeight="15.75" customHeight="1"/>
  <cols>
    <col min="5" max="5" width="28" customWidth="1"/>
  </cols>
  <sheetData>
    <row r="1" spans="1:12" ht="15.75" customHeight="1">
      <c r="A1" s="43" t="s">
        <v>6</v>
      </c>
      <c r="B1" s="34"/>
      <c r="C1" s="34"/>
      <c r="D1" s="34"/>
      <c r="E1" s="34"/>
      <c r="F1" s="2"/>
      <c r="G1" s="2"/>
      <c r="H1" s="2"/>
      <c r="I1" s="2"/>
      <c r="J1" s="2"/>
      <c r="K1" s="2"/>
      <c r="L1" s="2"/>
    </row>
    <row r="2" spans="1:12">
      <c r="A2" s="45" t="s">
        <v>7</v>
      </c>
      <c r="B2" s="34"/>
      <c r="C2" s="34"/>
      <c r="D2" s="34"/>
      <c r="E2" s="34"/>
      <c r="F2" s="34"/>
      <c r="G2" s="34"/>
      <c r="H2" s="34"/>
      <c r="I2" s="34"/>
      <c r="J2" s="34"/>
      <c r="K2" s="34"/>
      <c r="L2" s="34"/>
    </row>
    <row r="3" spans="1:12" ht="15.75" customHeight="1">
      <c r="A3" s="34"/>
      <c r="B3" s="34"/>
      <c r="C3" s="34"/>
      <c r="D3" s="34"/>
      <c r="E3" s="34"/>
      <c r="F3" s="34"/>
      <c r="G3" s="34"/>
      <c r="H3" s="34"/>
      <c r="I3" s="34"/>
      <c r="J3" s="34"/>
      <c r="K3" s="34"/>
      <c r="L3" s="34"/>
    </row>
    <row r="4" spans="1:12" ht="15.75" customHeight="1">
      <c r="A4" s="34"/>
      <c r="B4" s="34"/>
      <c r="C4" s="34"/>
      <c r="D4" s="34"/>
      <c r="E4" s="34"/>
      <c r="F4" s="34"/>
      <c r="G4" s="34"/>
      <c r="H4" s="34"/>
      <c r="I4" s="34"/>
      <c r="J4" s="34"/>
      <c r="K4" s="34"/>
      <c r="L4" s="34"/>
    </row>
    <row r="5" spans="1:12" ht="15.75" customHeight="1">
      <c r="A5" s="34"/>
      <c r="B5" s="34"/>
      <c r="C5" s="34"/>
      <c r="D5" s="34"/>
      <c r="E5" s="34"/>
      <c r="F5" s="34"/>
      <c r="G5" s="34"/>
      <c r="H5" s="34"/>
      <c r="I5" s="34"/>
      <c r="J5" s="34"/>
      <c r="K5" s="34"/>
      <c r="L5" s="34"/>
    </row>
    <row r="6" spans="1:12" ht="15.75" customHeight="1">
      <c r="A6" s="34"/>
      <c r="B6" s="34"/>
      <c r="C6" s="34"/>
      <c r="D6" s="34"/>
      <c r="E6" s="34"/>
      <c r="F6" s="34"/>
      <c r="G6" s="34"/>
      <c r="H6" s="34"/>
      <c r="I6" s="34"/>
      <c r="J6" s="34"/>
      <c r="K6" s="34"/>
      <c r="L6" s="34"/>
    </row>
    <row r="8" spans="1:12" ht="15.75" customHeight="1">
      <c r="A8" s="4" t="s">
        <v>8</v>
      </c>
      <c r="B8" s="44" t="s">
        <v>9</v>
      </c>
      <c r="C8" s="34"/>
      <c r="D8" s="2"/>
      <c r="E8" s="2"/>
    </row>
    <row r="9" spans="1:12" ht="15.75" customHeight="1">
      <c r="A9" s="5" t="s">
        <v>10</v>
      </c>
      <c r="B9" s="6" t="s">
        <v>11</v>
      </c>
      <c r="C9" s="6"/>
      <c r="D9" s="7">
        <f>D10+D11</f>
        <v>18000</v>
      </c>
      <c r="E9" s="2"/>
      <c r="F9" s="8"/>
      <c r="G9" s="8"/>
      <c r="H9" s="8"/>
      <c r="I9" s="8"/>
      <c r="J9" s="8"/>
      <c r="K9" s="8"/>
      <c r="L9" s="8"/>
    </row>
    <row r="10" spans="1:12" ht="15.75" customHeight="1">
      <c r="A10" s="5" t="s">
        <v>12</v>
      </c>
      <c r="B10" s="6" t="s">
        <v>13</v>
      </c>
      <c r="C10" s="6"/>
      <c r="D10" s="9">
        <v>15000</v>
      </c>
      <c r="E10" s="2"/>
      <c r="F10" s="10"/>
      <c r="G10" s="46" t="s">
        <v>14</v>
      </c>
      <c r="H10" s="34"/>
      <c r="I10" s="34"/>
      <c r="J10" s="34"/>
      <c r="K10" s="34"/>
      <c r="L10" s="34"/>
    </row>
    <row r="11" spans="1:12" ht="15.75" customHeight="1">
      <c r="A11" s="5" t="s">
        <v>15</v>
      </c>
      <c r="B11" s="6" t="s">
        <v>16</v>
      </c>
      <c r="C11" s="6"/>
      <c r="D11" s="11">
        <f>D10*D12*D13</f>
        <v>3000</v>
      </c>
      <c r="E11" s="2"/>
      <c r="F11" s="10"/>
      <c r="G11" s="34"/>
      <c r="H11" s="34"/>
      <c r="I11" s="34"/>
      <c r="J11" s="34"/>
      <c r="K11" s="34"/>
      <c r="L11" s="34"/>
    </row>
    <row r="12" spans="1:12" ht="15.75" customHeight="1">
      <c r="A12" s="5" t="s">
        <v>17</v>
      </c>
      <c r="B12" s="6" t="s">
        <v>18</v>
      </c>
      <c r="C12" s="12">
        <v>0.1</v>
      </c>
      <c r="D12" s="13">
        <v>0.1</v>
      </c>
      <c r="E12" s="2"/>
      <c r="F12" s="10"/>
      <c r="G12" s="34"/>
      <c r="H12" s="34"/>
      <c r="I12" s="34"/>
      <c r="J12" s="34"/>
      <c r="K12" s="34"/>
      <c r="L12" s="34"/>
    </row>
    <row r="13" spans="1:12" ht="15.75" customHeight="1">
      <c r="A13" s="5" t="s">
        <v>19</v>
      </c>
      <c r="B13" s="6" t="s">
        <v>20</v>
      </c>
      <c r="C13" s="6" t="s">
        <v>21</v>
      </c>
      <c r="D13" s="5">
        <v>2</v>
      </c>
      <c r="E13" s="2"/>
      <c r="F13" s="10"/>
      <c r="G13" s="34"/>
      <c r="H13" s="34"/>
      <c r="I13" s="34"/>
      <c r="J13" s="34"/>
      <c r="K13" s="34"/>
      <c r="L13" s="34"/>
    </row>
    <row r="14" spans="1:12" ht="15.75" customHeight="1">
      <c r="A14" s="2"/>
      <c r="B14" s="2"/>
      <c r="C14" s="2"/>
      <c r="D14" s="2"/>
      <c r="E14" s="2"/>
      <c r="F14" s="10"/>
      <c r="G14" s="14"/>
      <c r="H14" s="14"/>
      <c r="I14" s="14"/>
      <c r="J14" s="14"/>
      <c r="K14" s="14"/>
      <c r="L14" s="14"/>
    </row>
    <row r="15" spans="1:12" ht="15.75" customHeight="1">
      <c r="A15" s="4" t="s">
        <v>22</v>
      </c>
      <c r="B15" s="40" t="s">
        <v>23</v>
      </c>
      <c r="C15" s="34"/>
      <c r="D15" s="34"/>
      <c r="E15" s="2"/>
      <c r="F15" s="2"/>
      <c r="G15" s="14"/>
      <c r="H15" s="14"/>
      <c r="I15" s="14"/>
      <c r="J15" s="14"/>
      <c r="K15" s="14"/>
      <c r="L15" s="14"/>
    </row>
    <row r="16" spans="1:12" ht="15.75" customHeight="1">
      <c r="A16" s="5" t="s">
        <v>24</v>
      </c>
      <c r="B16" s="6" t="s">
        <v>13</v>
      </c>
      <c r="C16" s="41"/>
      <c r="D16" s="38"/>
      <c r="E16" s="9">
        <v>15000</v>
      </c>
      <c r="F16" s="2"/>
      <c r="G16" s="2"/>
      <c r="H16" s="2"/>
      <c r="I16" s="2"/>
      <c r="J16" s="2"/>
      <c r="K16" s="2"/>
      <c r="L16" s="2"/>
    </row>
    <row r="17" spans="1:12" ht="15.75" customHeight="1">
      <c r="A17" s="5" t="s">
        <v>25</v>
      </c>
      <c r="B17" s="6" t="s">
        <v>18</v>
      </c>
      <c r="C17" s="42">
        <v>9.5000000000000001E-2</v>
      </c>
      <c r="D17" s="38"/>
      <c r="E17" s="5">
        <f>0.095/4</f>
        <v>2.375E-2</v>
      </c>
      <c r="F17" s="2" t="s">
        <v>26</v>
      </c>
      <c r="G17" s="2"/>
      <c r="H17" s="2"/>
      <c r="I17" s="2"/>
      <c r="J17" s="2"/>
      <c r="K17" s="2"/>
      <c r="L17" s="2"/>
    </row>
    <row r="18" spans="1:12" ht="15.75" customHeight="1">
      <c r="A18" s="5" t="s">
        <v>27</v>
      </c>
      <c r="B18" s="6" t="s">
        <v>28</v>
      </c>
      <c r="C18" s="6">
        <v>4</v>
      </c>
      <c r="D18" s="6">
        <v>2</v>
      </c>
      <c r="E18" s="5">
        <f>C18*D18</f>
        <v>8</v>
      </c>
      <c r="F18" s="2"/>
      <c r="G18" s="2"/>
      <c r="H18" s="2"/>
      <c r="I18" s="2"/>
      <c r="J18" s="2"/>
      <c r="K18" s="2"/>
      <c r="L18" s="2"/>
    </row>
    <row r="19" spans="1:12" ht="15.75" customHeight="1">
      <c r="A19" s="5" t="s">
        <v>10</v>
      </c>
      <c r="B19" s="6" t="s">
        <v>11</v>
      </c>
      <c r="C19" s="36"/>
      <c r="D19" s="38"/>
      <c r="E19" s="15">
        <f>E16*(1+E17)^E18</f>
        <v>18098.499795014475</v>
      </c>
    </row>
    <row r="20" spans="1:12" ht="15.75" customHeight="1">
      <c r="A20" s="5" t="s">
        <v>29</v>
      </c>
      <c r="B20" s="6" t="s">
        <v>16</v>
      </c>
      <c r="C20" s="36"/>
      <c r="D20" s="38"/>
      <c r="E20" s="11">
        <f>E19-E16</f>
        <v>3098.4997950144752</v>
      </c>
    </row>
  </sheetData>
  <mergeCells count="9">
    <mergeCell ref="A1:E1"/>
    <mergeCell ref="B8:C8"/>
    <mergeCell ref="A2:L6"/>
    <mergeCell ref="G10:L13"/>
    <mergeCell ref="B15:D15"/>
    <mergeCell ref="C16:D16"/>
    <mergeCell ref="C17:D17"/>
    <mergeCell ref="C19:D19"/>
    <mergeCell ref="C20:D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21"/>
  <sheetViews>
    <sheetView workbookViewId="0">
      <selection sqref="A1:C1"/>
    </sheetView>
  </sheetViews>
  <sheetFormatPr defaultColWidth="12.5703125" defaultRowHeight="15.75" customHeight="1"/>
  <cols>
    <col min="1" max="1" width="22.7109375" customWidth="1"/>
  </cols>
  <sheetData>
    <row r="1" spans="1:12" ht="15.75" customHeight="1">
      <c r="A1" s="43" t="s">
        <v>30</v>
      </c>
      <c r="B1" s="34"/>
      <c r="C1" s="34"/>
      <c r="D1" s="2"/>
      <c r="E1" s="2"/>
      <c r="F1" s="2"/>
    </row>
    <row r="2" spans="1:12">
      <c r="A2" s="52" t="s">
        <v>31</v>
      </c>
      <c r="B2" s="34"/>
      <c r="C2" s="34"/>
      <c r="D2" s="34"/>
      <c r="E2" s="34"/>
      <c r="F2" s="34"/>
    </row>
    <row r="3" spans="1:12" ht="15.75" customHeight="1">
      <c r="A3" s="34"/>
      <c r="B3" s="34"/>
      <c r="C3" s="34"/>
      <c r="D3" s="34"/>
      <c r="E3" s="34"/>
      <c r="F3" s="34"/>
    </row>
    <row r="4" spans="1:12" ht="15.75" customHeight="1">
      <c r="A4" s="34"/>
      <c r="B4" s="34"/>
      <c r="C4" s="34"/>
      <c r="D4" s="34"/>
      <c r="E4" s="34"/>
      <c r="F4" s="34"/>
    </row>
    <row r="5" spans="1:12" ht="15.75" customHeight="1">
      <c r="A5" s="34"/>
      <c r="B5" s="34"/>
      <c r="C5" s="34"/>
      <c r="D5" s="34"/>
      <c r="E5" s="34"/>
      <c r="F5" s="34"/>
    </row>
    <row r="6" spans="1:12" ht="15.75" customHeight="1">
      <c r="A6" s="34"/>
      <c r="B6" s="34"/>
      <c r="C6" s="34"/>
      <c r="D6" s="34"/>
      <c r="E6" s="34"/>
      <c r="F6" s="34"/>
    </row>
    <row r="7" spans="1:12" ht="15.75" customHeight="1">
      <c r="A7" s="34"/>
      <c r="B7" s="34"/>
      <c r="C7" s="34"/>
      <c r="D7" s="34"/>
      <c r="E7" s="34"/>
      <c r="F7" s="34"/>
    </row>
    <row r="8" spans="1:12" ht="15.75" customHeight="1">
      <c r="A8" s="34"/>
      <c r="B8" s="34"/>
      <c r="C8" s="34"/>
      <c r="D8" s="34"/>
      <c r="E8" s="34"/>
      <c r="F8" s="34"/>
    </row>
    <row r="9" spans="1:12" ht="15.75" customHeight="1">
      <c r="A9" s="2"/>
      <c r="B9" s="2"/>
      <c r="C9" s="2"/>
      <c r="D9" s="2"/>
      <c r="E9" s="2"/>
      <c r="F9" s="2"/>
    </row>
    <row r="10" spans="1:12" ht="15.75" customHeight="1">
      <c r="A10" s="16" t="s">
        <v>32</v>
      </c>
      <c r="B10" s="16"/>
      <c r="C10" s="2"/>
      <c r="D10" s="2"/>
      <c r="E10" s="17">
        <f>D11-D14</f>
        <v>28875</v>
      </c>
      <c r="F10" s="2"/>
      <c r="G10" s="50" t="s">
        <v>33</v>
      </c>
      <c r="H10" s="34"/>
      <c r="I10" s="34"/>
      <c r="J10" s="34"/>
      <c r="K10" s="34"/>
      <c r="L10" s="34"/>
    </row>
    <row r="11" spans="1:12" ht="15.75" customHeight="1">
      <c r="A11" s="5" t="s">
        <v>34</v>
      </c>
      <c r="B11" s="6" t="s">
        <v>11</v>
      </c>
      <c r="C11" s="18">
        <v>30000</v>
      </c>
      <c r="D11" s="53">
        <f>C11</f>
        <v>30000</v>
      </c>
      <c r="E11" s="38"/>
      <c r="F11" s="2"/>
      <c r="G11" s="34"/>
      <c r="H11" s="34"/>
      <c r="I11" s="34"/>
      <c r="J11" s="34"/>
      <c r="K11" s="34"/>
      <c r="L11" s="34"/>
    </row>
    <row r="12" spans="1:12" ht="15.75" customHeight="1">
      <c r="A12" s="5" t="s">
        <v>35</v>
      </c>
      <c r="B12" s="6" t="s">
        <v>18</v>
      </c>
      <c r="C12" s="12">
        <v>0.15</v>
      </c>
      <c r="D12" s="6"/>
      <c r="E12" s="19">
        <v>0.15</v>
      </c>
      <c r="F12" s="2"/>
      <c r="G12" s="34"/>
      <c r="H12" s="34"/>
      <c r="I12" s="34"/>
      <c r="J12" s="34"/>
      <c r="K12" s="34"/>
      <c r="L12" s="34"/>
    </row>
    <row r="13" spans="1:12" ht="15.75" customHeight="1">
      <c r="A13" s="5" t="s">
        <v>36</v>
      </c>
      <c r="B13" s="6" t="s">
        <v>20</v>
      </c>
      <c r="C13" s="6">
        <v>90</v>
      </c>
      <c r="D13" s="47">
        <f>C13/360</f>
        <v>0.25</v>
      </c>
      <c r="E13" s="38"/>
      <c r="F13" s="2" t="s">
        <v>37</v>
      </c>
      <c r="G13" s="34"/>
      <c r="H13" s="34"/>
      <c r="I13" s="34"/>
      <c r="J13" s="34"/>
      <c r="K13" s="34"/>
      <c r="L13" s="34"/>
    </row>
    <row r="14" spans="1:12" ht="15.75" customHeight="1">
      <c r="A14" s="5" t="s">
        <v>38</v>
      </c>
      <c r="B14" s="6" t="s">
        <v>39</v>
      </c>
      <c r="C14" s="20"/>
      <c r="D14" s="54">
        <f>D11*E12*D13</f>
        <v>1125</v>
      </c>
      <c r="E14" s="38"/>
      <c r="F14" s="2"/>
      <c r="G14" s="34"/>
      <c r="H14" s="34"/>
      <c r="I14" s="34"/>
      <c r="J14" s="34"/>
      <c r="K14" s="34"/>
      <c r="L14" s="34"/>
    </row>
    <row r="15" spans="1:12" ht="15.75" customHeight="1">
      <c r="A15" s="2"/>
      <c r="B15" s="2"/>
      <c r="C15" s="2"/>
      <c r="D15" s="2"/>
      <c r="E15" s="2"/>
      <c r="F15" s="2"/>
    </row>
    <row r="16" spans="1:12" ht="15.75" customHeight="1">
      <c r="A16" s="16" t="s">
        <v>40</v>
      </c>
      <c r="B16" s="16"/>
      <c r="C16" s="2"/>
      <c r="D16" s="2"/>
      <c r="E16" s="2"/>
      <c r="F16" s="2"/>
      <c r="G16" s="51" t="s">
        <v>41</v>
      </c>
      <c r="H16" s="34"/>
      <c r="I16" s="34"/>
      <c r="J16" s="34"/>
      <c r="K16" s="34"/>
      <c r="L16" s="34"/>
    </row>
    <row r="17" spans="1:12" ht="15.75" customHeight="1">
      <c r="A17" s="5" t="s">
        <v>34</v>
      </c>
      <c r="B17" s="6" t="s">
        <v>11</v>
      </c>
      <c r="C17" s="18">
        <f>C11</f>
        <v>30000</v>
      </c>
      <c r="D17" s="53">
        <f>C17</f>
        <v>30000</v>
      </c>
      <c r="E17" s="38"/>
      <c r="F17" s="2"/>
      <c r="G17" s="34"/>
      <c r="H17" s="34"/>
      <c r="I17" s="34"/>
      <c r="J17" s="34"/>
      <c r="K17" s="34"/>
      <c r="L17" s="34"/>
    </row>
    <row r="18" spans="1:12" ht="15.75" customHeight="1">
      <c r="A18" s="5" t="s">
        <v>35</v>
      </c>
      <c r="B18" s="6" t="s">
        <v>18</v>
      </c>
      <c r="C18" s="6">
        <v>15</v>
      </c>
      <c r="D18" s="55">
        <f>E12</f>
        <v>0.15</v>
      </c>
      <c r="E18" s="38"/>
      <c r="F18" s="2"/>
      <c r="G18" s="34"/>
      <c r="H18" s="34"/>
      <c r="I18" s="34"/>
      <c r="J18" s="34"/>
      <c r="K18" s="34"/>
      <c r="L18" s="34"/>
    </row>
    <row r="19" spans="1:12" ht="15.75" customHeight="1">
      <c r="A19" s="5" t="s">
        <v>42</v>
      </c>
      <c r="B19" s="6" t="s">
        <v>20</v>
      </c>
      <c r="C19" s="6">
        <v>90</v>
      </c>
      <c r="D19" s="47">
        <f>C19/360</f>
        <v>0.25</v>
      </c>
      <c r="E19" s="38"/>
      <c r="F19" s="2"/>
      <c r="G19" s="34"/>
      <c r="H19" s="34"/>
      <c r="I19" s="34"/>
      <c r="J19" s="34"/>
      <c r="K19" s="34"/>
      <c r="L19" s="34"/>
    </row>
    <row r="20" spans="1:12" ht="15.75" customHeight="1">
      <c r="A20" s="5" t="s">
        <v>12</v>
      </c>
      <c r="B20" s="6" t="s">
        <v>13</v>
      </c>
      <c r="C20" s="6">
        <f>(1+D18*D19)</f>
        <v>1.0375000000000001</v>
      </c>
      <c r="D20" s="48">
        <f>D17/C20</f>
        <v>28915.662650602408</v>
      </c>
      <c r="E20" s="38"/>
      <c r="F20" s="2"/>
      <c r="G20" s="34"/>
      <c r="H20" s="34"/>
      <c r="I20" s="34"/>
      <c r="J20" s="34"/>
      <c r="K20" s="34"/>
      <c r="L20" s="34"/>
    </row>
    <row r="21" spans="1:12" ht="15.75" customHeight="1">
      <c r="A21" s="5" t="s">
        <v>38</v>
      </c>
      <c r="B21" s="6" t="s">
        <v>39</v>
      </c>
      <c r="C21" s="6"/>
      <c r="D21" s="49">
        <f>D17-D20</f>
        <v>1084.3373493975923</v>
      </c>
      <c r="E21" s="38"/>
      <c r="F21" s="2"/>
    </row>
  </sheetData>
  <mergeCells count="12">
    <mergeCell ref="A1:C1"/>
    <mergeCell ref="A2:F8"/>
    <mergeCell ref="D11:E11"/>
    <mergeCell ref="D13:E13"/>
    <mergeCell ref="D14:E14"/>
    <mergeCell ref="D19:E19"/>
    <mergeCell ref="D20:E20"/>
    <mergeCell ref="D21:E21"/>
    <mergeCell ref="G10:L14"/>
    <mergeCell ref="G16:L20"/>
    <mergeCell ref="D17:E17"/>
    <mergeCell ref="D18:E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13"/>
  <sheetViews>
    <sheetView workbookViewId="0">
      <selection sqref="A1:D1"/>
    </sheetView>
  </sheetViews>
  <sheetFormatPr defaultColWidth="12.5703125" defaultRowHeight="15.75" customHeight="1"/>
  <sheetData>
    <row r="1" spans="1:9" ht="15.75" customHeight="1">
      <c r="A1" s="43" t="s">
        <v>43</v>
      </c>
      <c r="B1" s="34"/>
      <c r="C1" s="34"/>
      <c r="D1" s="34"/>
      <c r="E1" s="2"/>
    </row>
    <row r="2" spans="1:9">
      <c r="A2" s="56" t="s">
        <v>44</v>
      </c>
      <c r="B2" s="34"/>
      <c r="C2" s="34"/>
      <c r="D2" s="34"/>
      <c r="E2" s="34"/>
      <c r="F2" s="34"/>
      <c r="G2" s="34"/>
      <c r="H2" s="34"/>
      <c r="I2" s="34"/>
    </row>
    <row r="3" spans="1:9" ht="15.75" customHeight="1">
      <c r="A3" s="34"/>
      <c r="B3" s="34"/>
      <c r="C3" s="34"/>
      <c r="D3" s="34"/>
      <c r="E3" s="34"/>
      <c r="F3" s="34"/>
      <c r="G3" s="34"/>
      <c r="H3" s="34"/>
      <c r="I3" s="34"/>
    </row>
    <row r="4" spans="1:9" ht="15.75" customHeight="1">
      <c r="A4" s="34"/>
      <c r="B4" s="34"/>
      <c r="C4" s="34"/>
      <c r="D4" s="34"/>
      <c r="E4" s="34"/>
      <c r="F4" s="34"/>
      <c r="G4" s="34"/>
      <c r="H4" s="34"/>
      <c r="I4" s="34"/>
    </row>
    <row r="5" spans="1:9" ht="15.75" customHeight="1">
      <c r="A5" s="34"/>
      <c r="B5" s="34"/>
      <c r="C5" s="34"/>
      <c r="D5" s="34"/>
      <c r="E5" s="34"/>
      <c r="F5" s="34"/>
      <c r="G5" s="34"/>
      <c r="H5" s="34"/>
      <c r="I5" s="34"/>
    </row>
    <row r="6" spans="1:9" ht="15.75" customHeight="1">
      <c r="A6" s="34"/>
      <c r="B6" s="34"/>
      <c r="C6" s="34"/>
      <c r="D6" s="34"/>
      <c r="E6" s="34"/>
      <c r="F6" s="34"/>
      <c r="G6" s="34"/>
      <c r="H6" s="34"/>
      <c r="I6" s="34"/>
    </row>
    <row r="7" spans="1:9" ht="15.75" customHeight="1">
      <c r="A7" s="2"/>
      <c r="B7" s="2"/>
      <c r="C7" s="2"/>
      <c r="D7" s="2"/>
      <c r="E7" s="2"/>
    </row>
    <row r="8" spans="1:9" ht="15.75" customHeight="1">
      <c r="A8" s="4" t="s">
        <v>45</v>
      </c>
      <c r="B8" s="2"/>
      <c r="C8" s="2"/>
      <c r="D8" s="2"/>
      <c r="E8" s="2"/>
    </row>
    <row r="9" spans="1:9" ht="15.75" customHeight="1">
      <c r="A9" s="5" t="s">
        <v>10</v>
      </c>
      <c r="B9" s="6" t="s">
        <v>11</v>
      </c>
      <c r="C9" s="6"/>
      <c r="D9" s="7">
        <f>D10+D11</f>
        <v>5750</v>
      </c>
      <c r="E9" s="2"/>
      <c r="F9" s="57" t="s">
        <v>46</v>
      </c>
      <c r="G9" s="34"/>
      <c r="H9" s="34"/>
      <c r="I9" s="34"/>
    </row>
    <row r="10" spans="1:9" ht="15.75" customHeight="1">
      <c r="A10" s="5" t="s">
        <v>12</v>
      </c>
      <c r="B10" s="6" t="s">
        <v>13</v>
      </c>
      <c r="C10" s="6"/>
      <c r="D10" s="9">
        <v>5000</v>
      </c>
      <c r="E10" s="2"/>
      <c r="F10" s="34"/>
      <c r="G10" s="34"/>
      <c r="H10" s="34"/>
      <c r="I10" s="34"/>
    </row>
    <row r="11" spans="1:9" ht="15.75" customHeight="1">
      <c r="A11" s="5" t="s">
        <v>15</v>
      </c>
      <c r="B11" s="6" t="s">
        <v>16</v>
      </c>
      <c r="D11" s="11">
        <f>D10*D12*D13</f>
        <v>750</v>
      </c>
      <c r="E11" s="2"/>
      <c r="F11" s="34"/>
      <c r="G11" s="34"/>
      <c r="H11" s="34"/>
      <c r="I11" s="34"/>
    </row>
    <row r="12" spans="1:9" ht="15.75" customHeight="1">
      <c r="A12" s="5" t="s">
        <v>17</v>
      </c>
      <c r="B12" s="6" t="s">
        <v>18</v>
      </c>
      <c r="C12" s="21">
        <v>1.4999999999999999E-2</v>
      </c>
      <c r="D12" s="22">
        <v>1.4999999999999999E-2</v>
      </c>
      <c r="E12" s="2"/>
    </row>
    <row r="13" spans="1:9" ht="15.75" customHeight="1">
      <c r="A13" s="5" t="s">
        <v>19</v>
      </c>
      <c r="B13" s="6" t="s">
        <v>20</v>
      </c>
      <c r="C13" s="6" t="s">
        <v>47</v>
      </c>
      <c r="D13" s="5">
        <v>10</v>
      </c>
      <c r="E13" s="2"/>
    </row>
  </sheetData>
  <mergeCells count="3">
    <mergeCell ref="A2:I6"/>
    <mergeCell ref="A1:D1"/>
    <mergeCell ref="F9:I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34"/>
  <sheetViews>
    <sheetView topLeftCell="A9" workbookViewId="0">
      <selection activeCell="A26" sqref="A26:H34"/>
    </sheetView>
  </sheetViews>
  <sheetFormatPr defaultColWidth="12.5703125" defaultRowHeight="15.75" customHeight="1"/>
  <sheetData>
    <row r="1" spans="1:9" ht="15.75" customHeight="1">
      <c r="A1" s="43" t="s">
        <v>48</v>
      </c>
      <c r="B1" s="34"/>
      <c r="C1" s="34"/>
      <c r="D1" s="34"/>
      <c r="E1" s="34"/>
      <c r="F1" s="2"/>
      <c r="G1" s="2"/>
      <c r="H1" s="2"/>
    </row>
    <row r="2" spans="1:9" ht="15.75" customHeight="1">
      <c r="A2" s="60" t="s">
        <v>49</v>
      </c>
      <c r="B2" s="34"/>
      <c r="C2" s="34"/>
      <c r="D2" s="34"/>
      <c r="E2" s="34"/>
      <c r="F2" s="34"/>
      <c r="G2" s="34"/>
      <c r="H2" s="2"/>
    </row>
    <row r="3" spans="1:9" ht="15.75" customHeight="1">
      <c r="A3" s="34"/>
      <c r="B3" s="34"/>
      <c r="C3" s="34"/>
      <c r="D3" s="34"/>
      <c r="E3" s="34"/>
      <c r="F3" s="34"/>
      <c r="G3" s="34"/>
      <c r="H3" s="2"/>
    </row>
    <row r="4" spans="1:9" ht="15.75" customHeight="1">
      <c r="A4" s="34"/>
      <c r="B4" s="34"/>
      <c r="C4" s="34"/>
      <c r="D4" s="34"/>
      <c r="E4" s="34"/>
      <c r="F4" s="34"/>
      <c r="G4" s="34"/>
      <c r="H4" s="2"/>
    </row>
    <row r="5" spans="1:9" ht="15.75" customHeight="1">
      <c r="A5" s="34"/>
      <c r="B5" s="34"/>
      <c r="C5" s="34"/>
      <c r="D5" s="34"/>
      <c r="E5" s="34"/>
      <c r="F5" s="34"/>
      <c r="G5" s="34"/>
      <c r="H5" s="2"/>
    </row>
    <row r="6" spans="1:9" ht="15.75" customHeight="1">
      <c r="A6" s="34"/>
      <c r="B6" s="34"/>
      <c r="C6" s="34"/>
      <c r="D6" s="34"/>
      <c r="E6" s="34"/>
      <c r="F6" s="34"/>
      <c r="G6" s="34"/>
      <c r="H6" s="2"/>
    </row>
    <row r="7" spans="1:9" ht="15.75" customHeight="1">
      <c r="A7" s="2"/>
      <c r="B7" s="2"/>
      <c r="C7" s="2"/>
      <c r="D7" s="2"/>
      <c r="E7" s="2"/>
      <c r="F7" s="2"/>
      <c r="G7" s="2"/>
      <c r="H7" s="2"/>
    </row>
    <row r="8" spans="1:9" ht="15.75" customHeight="1">
      <c r="A8" s="2"/>
      <c r="B8" s="2"/>
      <c r="C8" s="2"/>
      <c r="D8" s="2"/>
      <c r="E8" s="2"/>
      <c r="F8" s="2"/>
      <c r="G8" s="2"/>
      <c r="H8" s="2"/>
    </row>
    <row r="9" spans="1:9" ht="15.75" customHeight="1">
      <c r="A9" s="2" t="s">
        <v>50</v>
      </c>
      <c r="B9" s="2"/>
      <c r="C9" s="2"/>
      <c r="D9" s="2"/>
      <c r="E9" s="2"/>
      <c r="F9" s="58"/>
      <c r="G9" s="44" t="s">
        <v>51</v>
      </c>
      <c r="H9" s="34"/>
    </row>
    <row r="10" spans="1:9" ht="15.75" customHeight="1">
      <c r="A10" s="2" t="s">
        <v>13</v>
      </c>
      <c r="B10" s="17">
        <v>10000</v>
      </c>
      <c r="C10" s="2"/>
      <c r="D10" s="2"/>
      <c r="E10" s="2"/>
      <c r="F10" s="34"/>
      <c r="G10" s="2" t="s">
        <v>13</v>
      </c>
      <c r="H10" s="2">
        <v>10000</v>
      </c>
    </row>
    <row r="11" spans="1:9" ht="15.75" customHeight="1">
      <c r="A11" s="2" t="s">
        <v>52</v>
      </c>
      <c r="B11" s="2">
        <v>12</v>
      </c>
      <c r="C11" s="2"/>
      <c r="D11" s="2"/>
      <c r="E11" s="2"/>
      <c r="F11" s="34"/>
      <c r="G11" s="2" t="s">
        <v>20</v>
      </c>
      <c r="H11" s="2">
        <v>12</v>
      </c>
    </row>
    <row r="12" spans="1:9" ht="15.75" customHeight="1">
      <c r="A12" s="2" t="s">
        <v>53</v>
      </c>
      <c r="B12" s="20">
        <v>0.18</v>
      </c>
      <c r="C12" s="2">
        <v>0.18</v>
      </c>
      <c r="D12" s="2"/>
      <c r="E12" s="2"/>
      <c r="F12" s="34"/>
      <c r="G12" s="2" t="s">
        <v>18</v>
      </c>
      <c r="H12" s="20">
        <v>0.18</v>
      </c>
      <c r="I12" s="23">
        <v>0.18</v>
      </c>
    </row>
    <row r="13" spans="1:9" ht="15.75" customHeight="1">
      <c r="A13" s="2" t="s">
        <v>54</v>
      </c>
      <c r="B13" s="2">
        <v>3000</v>
      </c>
      <c r="C13" s="2"/>
      <c r="D13" s="2"/>
      <c r="E13" s="2"/>
      <c r="F13" s="34"/>
      <c r="G13" s="2" t="s">
        <v>54</v>
      </c>
      <c r="H13" s="2">
        <v>3000</v>
      </c>
    </row>
    <row r="14" spans="1:9" ht="15.75" customHeight="1">
      <c r="A14" s="2" t="s">
        <v>55</v>
      </c>
      <c r="B14" s="2">
        <v>4000</v>
      </c>
      <c r="C14" s="2"/>
      <c r="D14" s="2"/>
      <c r="E14" s="2"/>
      <c r="F14" s="34"/>
      <c r="G14" s="2" t="s">
        <v>55</v>
      </c>
      <c r="H14" s="2">
        <v>4000</v>
      </c>
    </row>
    <row r="15" spans="1:9" ht="15.75" customHeight="1">
      <c r="A15" s="2" t="s">
        <v>56</v>
      </c>
      <c r="B15" s="24">
        <f>B10*(1+C12)</f>
        <v>11800</v>
      </c>
      <c r="C15" s="2"/>
      <c r="D15" s="2"/>
      <c r="E15" s="2"/>
      <c r="F15" s="34"/>
      <c r="G15" s="2"/>
      <c r="H15" s="2"/>
    </row>
    <row r="16" spans="1:9" ht="15.75" customHeight="1">
      <c r="A16" s="2" t="s">
        <v>57</v>
      </c>
      <c r="B16" s="2">
        <f>B13*(1+C12*(8/12))</f>
        <v>3360.0000000000005</v>
      </c>
      <c r="C16" s="2"/>
      <c r="D16" s="2"/>
      <c r="E16" s="2"/>
      <c r="F16" s="34"/>
      <c r="G16" s="2" t="s">
        <v>56</v>
      </c>
      <c r="H16" s="2">
        <f>H10*(1+I12*(4/12))</f>
        <v>10600</v>
      </c>
    </row>
    <row r="17" spans="1:8" ht="15.75" customHeight="1">
      <c r="A17" s="2" t="s">
        <v>58</v>
      </c>
      <c r="B17" s="2">
        <f>B14*(1+C12*(4/12))</f>
        <v>4240</v>
      </c>
      <c r="C17" s="2"/>
      <c r="D17" s="2"/>
      <c r="E17" s="2"/>
      <c r="F17" s="34"/>
      <c r="G17" s="2" t="s">
        <v>59</v>
      </c>
      <c r="H17" s="25">
        <f>H13</f>
        <v>3000</v>
      </c>
    </row>
    <row r="18" spans="1:8" ht="15.75" customHeight="1">
      <c r="A18" s="26" t="s">
        <v>60</v>
      </c>
      <c r="B18" s="27">
        <f>B15-(B16+B17)</f>
        <v>4200</v>
      </c>
      <c r="C18" s="2"/>
      <c r="D18" s="2"/>
      <c r="E18" s="2"/>
      <c r="F18" s="34"/>
      <c r="G18" s="2" t="s">
        <v>57</v>
      </c>
      <c r="H18" s="28">
        <f>H16-H17</f>
        <v>7600</v>
      </c>
    </row>
    <row r="19" spans="1:8" ht="15.75" customHeight="1">
      <c r="A19" s="2"/>
      <c r="B19" s="2"/>
      <c r="C19" s="2"/>
      <c r="D19" s="2"/>
      <c r="E19" s="2"/>
      <c r="F19" s="34"/>
      <c r="G19" s="2"/>
      <c r="H19" s="2"/>
    </row>
    <row r="20" spans="1:8" ht="15.75" customHeight="1">
      <c r="A20" s="1"/>
      <c r="B20" s="2"/>
      <c r="C20" s="2"/>
      <c r="D20" s="2"/>
      <c r="E20" s="2"/>
      <c r="F20" s="34"/>
      <c r="G20" s="2" t="s">
        <v>59</v>
      </c>
      <c r="H20" s="25">
        <f>H18*(1+I12*(4/12))</f>
        <v>8056</v>
      </c>
    </row>
    <row r="21" spans="1:8" ht="15.75" customHeight="1">
      <c r="A21" s="2"/>
      <c r="B21" s="2"/>
      <c r="C21" s="2"/>
      <c r="D21" s="2"/>
      <c r="E21" s="2"/>
      <c r="F21" s="34"/>
      <c r="G21" s="2" t="s">
        <v>58</v>
      </c>
      <c r="H21" s="2">
        <f>H20-H14</f>
        <v>4056</v>
      </c>
    </row>
    <row r="22" spans="1:8" ht="15.75" customHeight="1">
      <c r="A22" s="59" t="s">
        <v>61</v>
      </c>
      <c r="B22" s="34"/>
      <c r="C22" s="34"/>
      <c r="D22" s="2"/>
      <c r="E22" s="2"/>
      <c r="F22" s="34"/>
      <c r="G22" s="2"/>
      <c r="H22" s="2"/>
    </row>
    <row r="23" spans="1:8" ht="15.75" customHeight="1">
      <c r="A23" s="34"/>
      <c r="B23" s="34"/>
      <c r="C23" s="34"/>
      <c r="D23" s="2"/>
      <c r="E23" s="2"/>
      <c r="F23" s="34"/>
      <c r="G23" s="26" t="s">
        <v>60</v>
      </c>
      <c r="H23" s="26">
        <f>H21*(1+I12*(4/12))</f>
        <v>4299.3600000000006</v>
      </c>
    </row>
    <row r="24" spans="1:8" ht="15.75" customHeight="1">
      <c r="A24" s="34"/>
      <c r="B24" s="34"/>
      <c r="C24" s="34"/>
      <c r="D24" s="2"/>
      <c r="E24" s="2"/>
      <c r="F24" s="34"/>
      <c r="G24" s="2"/>
      <c r="H24" s="2"/>
    </row>
    <row r="25" spans="1:8" ht="15.75" customHeight="1">
      <c r="A25" s="2"/>
      <c r="B25" s="2"/>
      <c r="C25" s="2"/>
      <c r="D25" s="2"/>
      <c r="E25" s="2"/>
      <c r="F25" s="2"/>
      <c r="G25" s="2"/>
      <c r="H25" s="2"/>
    </row>
    <row r="26" spans="1:8" ht="12.75" customHeight="1">
      <c r="A26" s="62" t="s">
        <v>62</v>
      </c>
      <c r="B26" s="62"/>
      <c r="C26" s="62"/>
      <c r="D26" s="62"/>
      <c r="E26" s="62"/>
      <c r="F26" s="62"/>
      <c r="G26" s="62"/>
      <c r="H26" s="62"/>
    </row>
    <row r="27" spans="1:8" ht="15.75" customHeight="1">
      <c r="A27" s="62"/>
      <c r="B27" s="62"/>
      <c r="C27" s="62"/>
      <c r="D27" s="62"/>
      <c r="E27" s="62"/>
      <c r="F27" s="62"/>
      <c r="G27" s="62"/>
      <c r="H27" s="62"/>
    </row>
    <row r="28" spans="1:8" ht="15.75" customHeight="1">
      <c r="A28" s="62"/>
      <c r="B28" s="62"/>
      <c r="C28" s="62"/>
      <c r="D28" s="62"/>
      <c r="E28" s="62"/>
      <c r="F28" s="62"/>
      <c r="G28" s="62"/>
      <c r="H28" s="62"/>
    </row>
    <row r="29" spans="1:8" ht="15.75" customHeight="1">
      <c r="A29" s="62"/>
      <c r="B29" s="62"/>
      <c r="C29" s="62"/>
      <c r="D29" s="62"/>
      <c r="E29" s="62"/>
      <c r="F29" s="62"/>
      <c r="G29" s="62"/>
      <c r="H29" s="62"/>
    </row>
    <row r="30" spans="1:8" ht="15.75" customHeight="1">
      <c r="A30" s="62"/>
      <c r="B30" s="62"/>
      <c r="C30" s="62"/>
      <c r="D30" s="62"/>
      <c r="E30" s="62"/>
      <c r="F30" s="62"/>
      <c r="G30" s="62"/>
      <c r="H30" s="62"/>
    </row>
    <row r="31" spans="1:8" ht="15.75" customHeight="1">
      <c r="A31" s="62"/>
      <c r="B31" s="62"/>
      <c r="C31" s="62"/>
      <c r="D31" s="62"/>
      <c r="E31" s="62"/>
      <c r="F31" s="62"/>
      <c r="G31" s="62"/>
      <c r="H31" s="62"/>
    </row>
    <row r="32" spans="1:8" ht="15.75" customHeight="1">
      <c r="A32" s="62"/>
      <c r="B32" s="62"/>
      <c r="C32" s="62"/>
      <c r="D32" s="62"/>
      <c r="E32" s="62"/>
      <c r="F32" s="62"/>
      <c r="G32" s="62"/>
      <c r="H32" s="62"/>
    </row>
    <row r="33" spans="1:8" ht="15.75" customHeight="1">
      <c r="A33" s="62"/>
      <c r="B33" s="62"/>
      <c r="C33" s="62"/>
      <c r="D33" s="62"/>
      <c r="E33" s="62"/>
      <c r="F33" s="62"/>
      <c r="G33" s="62"/>
      <c r="H33" s="62"/>
    </row>
    <row r="34" spans="1:8" ht="15.75" customHeight="1">
      <c r="A34" s="62"/>
      <c r="B34" s="62"/>
      <c r="C34" s="62"/>
      <c r="D34" s="62"/>
      <c r="E34" s="62"/>
      <c r="F34" s="62"/>
      <c r="G34" s="62"/>
      <c r="H34" s="62"/>
    </row>
  </sheetData>
  <mergeCells count="6">
    <mergeCell ref="G9:H9"/>
    <mergeCell ref="A1:E1"/>
    <mergeCell ref="F9:F24"/>
    <mergeCell ref="A22:C24"/>
    <mergeCell ref="A2:G6"/>
    <mergeCell ref="A26:H3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J13"/>
  <sheetViews>
    <sheetView workbookViewId="0">
      <selection sqref="A1:E1"/>
    </sheetView>
  </sheetViews>
  <sheetFormatPr defaultColWidth="12.5703125" defaultRowHeight="15.75" customHeight="1"/>
  <cols>
    <col min="3" max="3" width="18.7109375" customWidth="1"/>
  </cols>
  <sheetData>
    <row r="1" spans="1:10" ht="15.75" customHeight="1">
      <c r="A1" s="43" t="s">
        <v>48</v>
      </c>
      <c r="B1" s="34"/>
      <c r="C1" s="34"/>
      <c r="D1" s="34"/>
      <c r="E1" s="34"/>
    </row>
    <row r="2" spans="1:10">
      <c r="A2" s="60" t="s">
        <v>63</v>
      </c>
      <c r="B2" s="34"/>
      <c r="C2" s="34"/>
      <c r="D2" s="34"/>
      <c r="E2" s="34"/>
    </row>
    <row r="3" spans="1:10" ht="15.75" customHeight="1">
      <c r="A3" s="34"/>
      <c r="B3" s="34"/>
      <c r="C3" s="34"/>
      <c r="D3" s="34"/>
      <c r="E3" s="34"/>
    </row>
    <row r="4" spans="1:10" ht="15.75" customHeight="1">
      <c r="A4" s="34"/>
      <c r="B4" s="34"/>
      <c r="C4" s="34"/>
      <c r="D4" s="34"/>
      <c r="E4" s="34"/>
    </row>
    <row r="5" spans="1:10" ht="15.75" customHeight="1">
      <c r="A5" s="34"/>
      <c r="B5" s="34"/>
      <c r="C5" s="34"/>
      <c r="D5" s="34"/>
      <c r="E5" s="34"/>
    </row>
    <row r="6" spans="1:10" ht="15.75" customHeight="1">
      <c r="A6" s="34"/>
      <c r="B6" s="34"/>
      <c r="C6" s="34"/>
      <c r="D6" s="34"/>
      <c r="E6" s="34"/>
    </row>
    <row r="7" spans="1:10" ht="15.75" customHeight="1">
      <c r="A7" s="2"/>
      <c r="B7" s="2"/>
      <c r="C7" s="2"/>
      <c r="D7" s="2"/>
      <c r="E7" s="2"/>
    </row>
    <row r="8" spans="1:10" ht="15.75" customHeight="1">
      <c r="A8" s="4" t="s">
        <v>45</v>
      </c>
      <c r="B8" s="2"/>
      <c r="C8" s="2"/>
      <c r="D8" s="2"/>
      <c r="E8" s="2"/>
    </row>
    <row r="9" spans="1:10" ht="15.75" customHeight="1">
      <c r="A9" s="5" t="s">
        <v>10</v>
      </c>
      <c r="B9" s="6" t="s">
        <v>11</v>
      </c>
      <c r="C9" s="6"/>
      <c r="D9" s="7">
        <v>40000</v>
      </c>
      <c r="E9" s="2"/>
      <c r="G9" s="61" t="s">
        <v>64</v>
      </c>
      <c r="H9" s="34"/>
      <c r="I9" s="34"/>
      <c r="J9" s="34"/>
    </row>
    <row r="10" spans="1:10" ht="15.75" customHeight="1">
      <c r="A10" s="5" t="s">
        <v>12</v>
      </c>
      <c r="B10" s="6" t="s">
        <v>13</v>
      </c>
      <c r="C10" s="6"/>
      <c r="D10" s="9">
        <f>D9/(1+D12)^D13</f>
        <v>27022.566753031941</v>
      </c>
      <c r="E10" s="2"/>
      <c r="G10" s="34"/>
      <c r="H10" s="34"/>
      <c r="I10" s="34"/>
      <c r="J10" s="34"/>
    </row>
    <row r="11" spans="1:10" ht="15.75" customHeight="1">
      <c r="A11" s="5" t="s">
        <v>15</v>
      </c>
      <c r="B11" s="6" t="s">
        <v>16</v>
      </c>
      <c r="C11" s="6"/>
      <c r="D11" s="11">
        <f>D9-D10</f>
        <v>12977.433246968059</v>
      </c>
      <c r="E11" s="2"/>
      <c r="G11" s="34"/>
      <c r="H11" s="34"/>
      <c r="I11" s="34"/>
      <c r="J11" s="34"/>
    </row>
    <row r="12" spans="1:10" ht="15.75" customHeight="1">
      <c r="A12" s="5" t="s">
        <v>17</v>
      </c>
      <c r="B12" s="6" t="s">
        <v>18</v>
      </c>
      <c r="C12" s="6" t="s">
        <v>65</v>
      </c>
      <c r="D12" s="22">
        <f>0.08/2</f>
        <v>0.04</v>
      </c>
      <c r="E12" s="2" t="s">
        <v>66</v>
      </c>
    </row>
    <row r="13" spans="1:10" ht="15.75" customHeight="1">
      <c r="A13" s="5" t="s">
        <v>19</v>
      </c>
      <c r="B13" s="6" t="s">
        <v>20</v>
      </c>
      <c r="C13" s="6" t="s">
        <v>67</v>
      </c>
      <c r="D13" s="5">
        <f>5*2</f>
        <v>10</v>
      </c>
      <c r="E13" s="2" t="s">
        <v>68</v>
      </c>
    </row>
  </sheetData>
  <mergeCells count="3">
    <mergeCell ref="A2:E6"/>
    <mergeCell ref="A1:E1"/>
    <mergeCell ref="G9:J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28"/>
  <sheetViews>
    <sheetView workbookViewId="0">
      <selection activeCell="I26" sqref="I26"/>
    </sheetView>
  </sheetViews>
  <sheetFormatPr defaultColWidth="12.5703125" defaultRowHeight="15.75" customHeight="1"/>
  <sheetData>
    <row r="1" spans="1:9" ht="15.75" customHeight="1">
      <c r="A1" s="43" t="s">
        <v>48</v>
      </c>
      <c r="B1" s="34"/>
      <c r="C1" s="34"/>
      <c r="D1" s="2"/>
      <c r="E1" s="2"/>
      <c r="F1" s="2"/>
      <c r="G1" s="2"/>
      <c r="H1" s="2"/>
    </row>
    <row r="2" spans="1:9" ht="15.75" customHeight="1">
      <c r="A2" s="56" t="s">
        <v>69</v>
      </c>
      <c r="B2" s="34"/>
      <c r="C2" s="34"/>
      <c r="D2" s="34"/>
      <c r="E2" s="34"/>
      <c r="F2" s="2"/>
      <c r="G2" s="2"/>
      <c r="H2" s="2"/>
    </row>
    <row r="3" spans="1:9" ht="15.75" customHeight="1">
      <c r="A3" s="34"/>
      <c r="B3" s="34"/>
      <c r="C3" s="34"/>
      <c r="D3" s="34"/>
      <c r="E3" s="34"/>
      <c r="F3" s="2"/>
      <c r="G3" s="2"/>
      <c r="H3" s="2"/>
    </row>
    <row r="4" spans="1:9" ht="15.75" customHeight="1">
      <c r="A4" s="34"/>
      <c r="B4" s="34"/>
      <c r="C4" s="34"/>
      <c r="D4" s="34"/>
      <c r="E4" s="34"/>
      <c r="F4" s="2"/>
      <c r="G4" s="2"/>
      <c r="H4" s="2"/>
    </row>
    <row r="5" spans="1:9" ht="15.75" customHeight="1">
      <c r="A5" s="34"/>
      <c r="B5" s="34"/>
      <c r="C5" s="34"/>
      <c r="D5" s="34"/>
      <c r="E5" s="34"/>
      <c r="F5" s="2"/>
      <c r="G5" s="2"/>
      <c r="H5" s="2"/>
    </row>
    <row r="6" spans="1:9" ht="15.75" customHeight="1">
      <c r="A6" s="34"/>
      <c r="B6" s="34"/>
      <c r="C6" s="34"/>
      <c r="D6" s="34"/>
      <c r="E6" s="34"/>
      <c r="F6" s="2"/>
      <c r="G6" s="2"/>
      <c r="H6" s="2"/>
    </row>
    <row r="7" spans="1:9" ht="15.75" customHeight="1">
      <c r="A7" s="2"/>
      <c r="B7" s="2"/>
      <c r="C7" s="2"/>
      <c r="D7" s="2"/>
      <c r="E7" s="2"/>
      <c r="F7" s="2"/>
      <c r="G7" s="2"/>
      <c r="H7" s="2"/>
    </row>
    <row r="8" spans="1:9" ht="15.75" customHeight="1">
      <c r="A8" s="2" t="s">
        <v>50</v>
      </c>
      <c r="B8" s="2"/>
      <c r="C8" s="2"/>
      <c r="D8" s="2"/>
      <c r="E8" s="2"/>
      <c r="F8" s="58"/>
      <c r="G8" s="44" t="s">
        <v>51</v>
      </c>
      <c r="H8" s="34"/>
    </row>
    <row r="9" spans="1:9" ht="15.75" customHeight="1">
      <c r="A9" s="2" t="s">
        <v>13</v>
      </c>
      <c r="B9" s="2">
        <v>92000</v>
      </c>
      <c r="C9" s="2"/>
      <c r="D9" s="2"/>
      <c r="E9" s="2"/>
      <c r="F9" s="34"/>
      <c r="G9" s="2" t="s">
        <v>13</v>
      </c>
      <c r="H9" s="2">
        <f>B9</f>
        <v>92000</v>
      </c>
    </row>
    <row r="10" spans="1:9" ht="15.75" customHeight="1">
      <c r="A10" s="2" t="s">
        <v>52</v>
      </c>
      <c r="B10" s="2">
        <v>10</v>
      </c>
      <c r="C10" s="2"/>
      <c r="D10" s="2"/>
      <c r="E10" s="2"/>
      <c r="F10" s="34"/>
      <c r="G10" s="2" t="s">
        <v>20</v>
      </c>
      <c r="H10" s="2">
        <v>10</v>
      </c>
    </row>
    <row r="11" spans="1:9" ht="15.75" customHeight="1">
      <c r="A11" s="2" t="s">
        <v>53</v>
      </c>
      <c r="B11" s="20">
        <v>0.05</v>
      </c>
      <c r="C11" s="24">
        <f>0.05</f>
        <v>0.05</v>
      </c>
      <c r="D11" s="2"/>
      <c r="E11" s="2"/>
      <c r="F11" s="34"/>
      <c r="G11" s="2" t="s">
        <v>18</v>
      </c>
      <c r="H11" s="20">
        <v>0.05</v>
      </c>
      <c r="I11" s="23">
        <v>0.05</v>
      </c>
    </row>
    <row r="12" spans="1:9" ht="15.75" customHeight="1">
      <c r="A12" s="2" t="s">
        <v>54</v>
      </c>
      <c r="B12" s="2">
        <v>40000</v>
      </c>
      <c r="C12" s="2"/>
      <c r="D12" s="2"/>
      <c r="E12" s="2"/>
      <c r="F12" s="34"/>
      <c r="G12" s="2" t="s">
        <v>54</v>
      </c>
      <c r="H12" s="2">
        <v>40000</v>
      </c>
    </row>
    <row r="13" spans="1:9" ht="15.75" customHeight="1">
      <c r="A13" s="2" t="s">
        <v>55</v>
      </c>
      <c r="B13" s="2">
        <v>45000</v>
      </c>
      <c r="C13" s="2"/>
      <c r="D13" s="2"/>
      <c r="E13" s="2"/>
      <c r="F13" s="34"/>
      <c r="G13" s="2" t="s">
        <v>55</v>
      </c>
      <c r="H13" s="2">
        <v>45000</v>
      </c>
    </row>
    <row r="14" spans="1:9" ht="15.75" customHeight="1">
      <c r="A14" s="2" t="s">
        <v>56</v>
      </c>
      <c r="B14" s="24">
        <f>B9*(1+C11)^5</f>
        <v>117417.90375000001</v>
      </c>
      <c r="C14" s="2"/>
      <c r="D14" s="2"/>
      <c r="E14" s="2"/>
      <c r="F14" s="34"/>
      <c r="G14" s="2"/>
      <c r="H14" s="2"/>
    </row>
    <row r="15" spans="1:9" ht="15.75" customHeight="1">
      <c r="A15" s="2" t="s">
        <v>57</v>
      </c>
      <c r="B15" s="24">
        <f>B12*(1+C11)^3.5</f>
        <v>47448.505521775929</v>
      </c>
      <c r="C15" s="2"/>
      <c r="D15" s="2"/>
      <c r="E15" s="2"/>
      <c r="F15" s="34"/>
      <c r="G15" s="2" t="s">
        <v>56</v>
      </c>
      <c r="H15" s="24">
        <f>H9*(1+0.05)^1.5</f>
        <v>98985.544399169725</v>
      </c>
    </row>
    <row r="16" spans="1:9" ht="15.75" customHeight="1">
      <c r="A16" s="2" t="s">
        <v>58</v>
      </c>
      <c r="B16" s="2">
        <f>B13*(1+C11)^1</f>
        <v>47250</v>
      </c>
      <c r="C16" s="2"/>
      <c r="D16" s="2"/>
      <c r="E16" s="2"/>
      <c r="F16" s="34"/>
      <c r="G16" s="2" t="s">
        <v>59</v>
      </c>
      <c r="H16" s="25">
        <f>H12</f>
        <v>40000</v>
      </c>
    </row>
    <row r="17" spans="1:8" ht="15.75" customHeight="1">
      <c r="A17" s="26" t="s">
        <v>60</v>
      </c>
      <c r="B17" s="27">
        <f>B14-(B15+B16)</f>
        <v>22719.39822822409</v>
      </c>
      <c r="C17" s="2"/>
      <c r="D17" s="2"/>
      <c r="E17" s="2"/>
      <c r="F17" s="34"/>
      <c r="G17" s="2" t="s">
        <v>57</v>
      </c>
      <c r="H17" s="29">
        <f>H15-H16</f>
        <v>58985.544399169725</v>
      </c>
    </row>
    <row r="18" spans="1:8" ht="15.75" customHeight="1">
      <c r="A18" s="2"/>
      <c r="B18" s="2"/>
      <c r="C18" s="2"/>
      <c r="D18" s="2"/>
      <c r="E18" s="2"/>
      <c r="F18" s="34"/>
      <c r="G18" s="2"/>
      <c r="H18" s="2"/>
    </row>
    <row r="19" spans="1:8" ht="15.75" customHeight="1">
      <c r="A19" s="63" t="s">
        <v>70</v>
      </c>
      <c r="B19" s="63"/>
      <c r="C19" s="63"/>
      <c r="D19" s="63"/>
      <c r="E19" s="63"/>
      <c r="F19" s="34"/>
      <c r="G19" s="2" t="s">
        <v>59</v>
      </c>
      <c r="H19" s="30">
        <f>H17*(1+0.05)^2.5</f>
        <v>66637.522122118186</v>
      </c>
    </row>
    <row r="20" spans="1:8" ht="15.75" customHeight="1">
      <c r="A20" s="63"/>
      <c r="B20" s="63"/>
      <c r="C20" s="63"/>
      <c r="D20" s="63"/>
      <c r="E20" s="63"/>
      <c r="F20" s="34"/>
      <c r="G20" s="2" t="s">
        <v>58</v>
      </c>
      <c r="H20" s="2">
        <f>H13</f>
        <v>45000</v>
      </c>
    </row>
    <row r="21" spans="1:8" ht="15.75" customHeight="1">
      <c r="A21" s="63"/>
      <c r="B21" s="63"/>
      <c r="C21" s="63"/>
      <c r="D21" s="63"/>
      <c r="E21" s="63"/>
      <c r="F21" s="34"/>
      <c r="G21" s="2"/>
      <c r="H21" s="24">
        <f>H19-H20</f>
        <v>21637.522122118186</v>
      </c>
    </row>
    <row r="22" spans="1:8" ht="15.75" customHeight="1">
      <c r="A22" s="63"/>
      <c r="B22" s="63"/>
      <c r="C22" s="63"/>
      <c r="D22" s="63"/>
      <c r="E22" s="63"/>
      <c r="F22" s="34"/>
      <c r="G22" s="26" t="s">
        <v>60</v>
      </c>
      <c r="H22" s="27">
        <f>H21*(1+0.05)^1</f>
        <v>22719.398228224094</v>
      </c>
    </row>
    <row r="23" spans="1:8" ht="15.75" customHeight="1">
      <c r="A23" s="63"/>
      <c r="B23" s="63"/>
      <c r="C23" s="63"/>
      <c r="D23" s="63"/>
      <c r="E23" s="63"/>
      <c r="F23" s="34"/>
      <c r="G23" s="2"/>
      <c r="H23" s="2"/>
    </row>
    <row r="24" spans="1:8" ht="15.75" customHeight="1">
      <c r="A24" s="63"/>
      <c r="B24" s="63"/>
      <c r="C24" s="63"/>
      <c r="D24" s="63"/>
      <c r="E24" s="63"/>
    </row>
    <row r="25" spans="1:8" ht="15.75" customHeight="1">
      <c r="A25" s="63"/>
      <c r="B25" s="63"/>
      <c r="C25" s="63"/>
      <c r="D25" s="63"/>
      <c r="E25" s="63"/>
    </row>
    <row r="26" spans="1:8" ht="15.75" customHeight="1">
      <c r="A26" s="63"/>
      <c r="B26" s="63"/>
      <c r="C26" s="63"/>
      <c r="D26" s="63"/>
      <c r="E26" s="63"/>
    </row>
    <row r="27" spans="1:8" ht="15.75" customHeight="1">
      <c r="A27" s="63"/>
      <c r="B27" s="63"/>
      <c r="C27" s="63"/>
      <c r="D27" s="63"/>
      <c r="E27" s="63"/>
    </row>
    <row r="28" spans="1:8" ht="15.75" customHeight="1">
      <c r="A28" s="63"/>
      <c r="B28" s="63"/>
      <c r="C28" s="63"/>
      <c r="D28" s="63"/>
      <c r="E28" s="63"/>
    </row>
  </sheetData>
  <mergeCells count="5">
    <mergeCell ref="A1:C1"/>
    <mergeCell ref="A2:E6"/>
    <mergeCell ref="G8:H8"/>
    <mergeCell ref="F8:F23"/>
    <mergeCell ref="A19:E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Portada</vt:lpstr>
      <vt:lpstr>Ejercicio 1</vt:lpstr>
      <vt:lpstr>Ejercicio2</vt:lpstr>
      <vt:lpstr>Ejercicio 3</vt:lpstr>
      <vt:lpstr>Ejercicio4</vt:lpstr>
      <vt:lpstr>Ejercicio 5</vt:lpstr>
      <vt:lpstr>Ejercicio6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Rojas</dc:creator>
  <cp:lastModifiedBy>Fernando Rojas</cp:lastModifiedBy>
  <dcterms:created xsi:type="dcterms:W3CDTF">2025-09-23T18:23:06Z</dcterms:created>
  <dcterms:modified xsi:type="dcterms:W3CDTF">2025-09-23T18:23:06Z</dcterms:modified>
</cp:coreProperties>
</file>